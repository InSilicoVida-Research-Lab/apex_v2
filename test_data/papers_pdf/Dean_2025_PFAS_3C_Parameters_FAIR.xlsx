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1" documentId="11_DB567C9F17DDF2262A9526FBE559D5EA75B7006B" xr6:coauthVersionLast="47" xr6:coauthVersionMax="47" xr10:uidLastSave="{5012EE83-A29D-4D9C-B43C-9C014FE5E9DD}"/>
  <bookViews>
    <workbookView xWindow="0" yWindow="0" windowWidth="0" windowHeight="0" activeTab="7" xr2:uid="{00000000-000D-0000-FFFF-FFFF00000000}"/>
  </bookViews>
  <sheets>
    <sheet name="README" sheetId="1" r:id="rId1"/>
    <sheet name="Model_Structure" sheetId="2" r:id="rId2"/>
    <sheet name="NHP_Parameters" sheetId="3" r:id="rId3"/>
    <sheet name="Human_Parameters" sheetId="4" r:id="rId4"/>
    <sheet name="Scaling_Calibration" sheetId="5" r:id="rId5"/>
    <sheet name="Model_Assumptions" sheetId="6" r:id="rId6"/>
    <sheet name="FAIR_Notes" sheetId="7" r:id="rId7"/>
    <sheet name="Master_Parameters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<sst xmlns="http://schemas.openxmlformats.org/spreadsheetml/2006/main" count="1980" uniqueCount="217">
  <si>
    <t>Dean et al. (2025) — FAIR Parameter Extraction</t>
  </si>
  <si>
    <t>Human-adapted three-compartment PFAS toxicokinetic model (PFOA, PFOS, PFHxS)</t>
  </si>
  <si>
    <t>Paper</t>
  </si>
  <si>
    <t>Dean KJ et al. Adapting existing toxicokinetic models to relate PFAS intake to biomarkers in humans. Toxicological Sciences. 2025;207(1):139–147.</t>
  </si>
  <si>
    <t>DOI</t>
  </si>
  <si>
    <t>https://doi.org/10.1093/toxsci/kfaf087</t>
  </si>
  <si>
    <t>Model type</t>
  </si>
  <si>
    <t>Human-adapted compartmental toxicokinetic model derived from Wambaugh/Andersen nonhuman-primate framework</t>
  </si>
  <si>
    <t>Compartments</t>
  </si>
  <si>
    <t>3: Central/primary; Deep/second; Renal filtrate</t>
  </si>
  <si>
    <t>Chemicals</t>
  </si>
  <si>
    <t>PFOA, PFOS, PFHxS</t>
  </si>
  <si>
    <t>Primary purpose</t>
  </si>
  <si>
    <t>Connect PFAS intake to human serum biomarkers and support forward/reverse dosimetry.</t>
  </si>
  <si>
    <t>Human scope</t>
  </si>
  <si>
    <t>Adults &gt;20 years; pregnancy and breastfeeding not represented.</t>
  </si>
  <si>
    <t>Workbook scope</t>
  </si>
  <si>
    <t>NHP fitted parameters, effective human parameter set, scaling/calibration steps, assumptions, provenance notes and master parameter table.</t>
  </si>
  <si>
    <t>Important FAIR choice</t>
  </si>
  <si>
    <t>Human-effective inherited parameters are explicitly marked as inherited rather than falsely labeled as newly measured human parameters.</t>
  </si>
  <si>
    <t>Model Structure</t>
  </si>
  <si>
    <t>Three compartments with saturable renal resorption.</t>
  </si>
  <si>
    <t>Element</t>
  </si>
  <si>
    <t>Type</t>
  </si>
  <si>
    <t>Direction / relation</t>
  </si>
  <si>
    <t>Applies during</t>
  </si>
  <si>
    <t>Notes</t>
  </si>
  <si>
    <t>Paper location</t>
  </si>
  <si>
    <t>Source URL</t>
  </si>
  <si>
    <t>Central / primary</t>
  </si>
  <si>
    <t>Compartment</t>
  </si>
  <si>
    <t>Receives absorbed oral dose; exchanges with deep compartment and renal filtrate</t>
  </si>
  <si>
    <t>All modeled times</t>
  </si>
  <si>
    <t>Concentration CPrim; apparent VCC.</t>
  </si>
  <si>
    <t>Figure 1</t>
  </si>
  <si>
    <t>Deep / second</t>
  </si>
  <si>
    <t>Central ⇄ Deep via k12 and k21</t>
  </si>
  <si>
    <t>Concentration CDeep; second distribution compartment.</t>
  </si>
  <si>
    <t>Filtrate</t>
  </si>
  <si>
    <t>Central → filtrate by filtration; filtrate → central by saturable resorption; unreabsorbed amount is excreted</t>
  </si>
  <si>
    <t>Concentration Cfil; VfilC and QfilC define renal filtration submodel.</t>
  </si>
  <si>
    <t>Gut absorption</t>
  </si>
  <si>
    <t>Process</t>
  </si>
  <si>
    <t>Gut → Central</t>
  </si>
  <si>
    <t>After oral intake</t>
  </si>
  <si>
    <t>First-order rate ka with bioavailability bioAv.</t>
  </si>
  <si>
    <t>Model description / Table 1</t>
  </si>
  <si>
    <t>Renal resorption</t>
  </si>
  <si>
    <t>Filtrate → Central</t>
  </si>
  <si>
    <t>Michaelis–Menten saturable process using Tmc and Kt.</t>
  </si>
  <si>
    <t>Figure 1 / model description</t>
  </si>
  <si>
    <t>Nonhuman-Primate Parameterization</t>
  </si>
  <si>
    <t>Fitted / fixed source parameterization used as the basis for human adaptation.</t>
  </si>
  <si>
    <t>Parameter class</t>
  </si>
  <si>
    <t>Parameter name</t>
  </si>
  <si>
    <t>Symbol</t>
  </si>
  <si>
    <t>Compound</t>
  </si>
  <si>
    <t>Mean / value</t>
  </si>
  <si>
    <t>95% CI low</t>
  </si>
  <si>
    <t>95% CI high</t>
  </si>
  <si>
    <t>Unit</t>
  </si>
  <si>
    <t>Origin / derivation</t>
  </si>
  <si>
    <t>Paper table</t>
  </si>
  <si>
    <t>Physiological</t>
  </si>
  <si>
    <t>Body weight</t>
  </si>
  <si>
    <t>BW</t>
  </si>
  <si>
    <t>PFOS</t>
  </si>
  <si>
    <t>kg</t>
  </si>
  <si>
    <t>Butenhoff et al. (2004); Chang et al. (2012); Seacat et al. (2002)</t>
  </si>
  <si>
    <t>Table 1</t>
  </si>
  <si>
    <t>Cardiac blood output</t>
  </si>
  <si>
    <t>QCC</t>
  </si>
  <si>
    <t>L/h/kg^0.74</t>
  </si>
  <si>
    <t>Wambaugh et al. (2013)</t>
  </si>
  <si>
    <t>Fraction of cardiac output to filtrate</t>
  </si>
  <si>
    <t>QfilC</t>
  </si>
  <si>
    <t>fraction</t>
  </si>
  <si>
    <t>Volume of filtrate compartment</t>
  </si>
  <si>
    <t>VfilC</t>
  </si>
  <si>
    <t>L/kg</t>
  </si>
  <si>
    <t>Loccisano et al. (2011)</t>
  </si>
  <si>
    <t>Chemical-specific</t>
  </si>
  <si>
    <t>Bioavailability</t>
  </si>
  <si>
    <t>bioAv</t>
  </si>
  <si>
    <t>US EPA (2024a)</t>
  </si>
  <si>
    <t>Volume of distribution, central compartment</t>
  </si>
  <si>
    <t>VCC</t>
  </si>
  <si>
    <t>Optimized</t>
  </si>
  <si>
    <t>Saturable resorption rate</t>
  </si>
  <si>
    <t>Tmc</t>
  </si>
  <si>
    <t>mg/h/kg</t>
  </si>
  <si>
    <t>Saturable resorption affinity</t>
  </si>
  <si>
    <t>Kt</t>
  </si>
  <si>
    <t>mg/L</t>
  </si>
  <si>
    <t>Proportion of free compound in serum</t>
  </si>
  <si>
    <t>Free</t>
  </si>
  <si>
    <t>Smeltz et al. (2023)</t>
  </si>
  <si>
    <t>Rate from central to second compartment</t>
  </si>
  <si>
    <t>k12</t>
  </si>
  <si>
    <t>1/h</t>
  </si>
  <si>
    <t>Andersen et al. (2006)</t>
  </si>
  <si>
    <t>Rate from second to central compartment</t>
  </si>
  <si>
    <t>k21</t>
  </si>
  <si>
    <t>Rate from gut to central compartment</t>
  </si>
  <si>
    <t>ka</t>
  </si>
  <si>
    <t>PFOA</t>
  </si>
  <si>
    <t>PFHxS</t>
  </si>
  <si>
    <t>Chang (2020d)</t>
  </si>
  <si>
    <t>Table 3</t>
  </si>
  <si>
    <t>Assumed equal to PFOS</t>
  </si>
  <si>
    <t>Assumed equal to PFOS / Wambaugh et al. (2013)</t>
  </si>
  <si>
    <t>Effective Human Parameter Set</t>
  </si>
  <si>
    <t>Includes parameters directly repeated in human rows plus values explicitly inherited from the NHP model.</t>
  </si>
  <si>
    <t>Human effective value</t>
  </si>
  <si>
    <t>Human value status</t>
  </si>
  <si>
    <t>Directly in human table row?</t>
  </si>
  <si>
    <t>Direct human/scaled row</t>
  </si>
  <si>
    <t>Yes</t>
  </si>
  <si>
    <t>US EPA (2024a, 2024b) for PFOS/PFOA; PFHxS assumed PFOS-like</t>
  </si>
  <si>
    <t>Optimized/scaled to reproduce human half-life</t>
  </si>
  <si>
    <t>PFOS retained; PFOA uses 0.008 mg/L refit under 90% bioavailability; PFHxS assumed PFOS-like</t>
  </si>
  <si>
    <t>Human biological half-life</t>
  </si>
  <si>
    <t>T1/2</t>
  </si>
  <si>
    <t>years</t>
  </si>
  <si>
    <t>Li et al. (2018)</t>
  </si>
  <si>
    <t>Inherited into human model</t>
  </si>
  <si>
    <t>No</t>
  </si>
  <si>
    <t>Wambaugh et al. (2013). Held constant between animal and human models per article text.</t>
  </si>
  <si>
    <t>Table 1/3 + scaling text</t>
  </si>
  <si>
    <t>Loccisano et al. (2011). Held constant between animal and human models per article text.</t>
  </si>
  <si>
    <t>Optimized. Optimized from NHP data; then held constant in the human model.</t>
  </si>
  <si>
    <t>Smeltz et al. (2023). Set from Smeltz et al. (2023); held constant in human adaptation.</t>
  </si>
  <si>
    <t>Andersen et al. (2006). Set from prior model/literature; held constant in human adaptation.</t>
  </si>
  <si>
    <t>Wambaugh et al. (2013). Set from prior model/literature; held constant in human adaptation.</t>
  </si>
  <si>
    <t>Assumed equal to PFOS / Wambaugh et al. (2013). Set from prior model/literature; held constant in human adaptation.</t>
  </si>
  <si>
    <t>NHP → Human Scaling and Calibration</t>
  </si>
  <si>
    <t>Explicit changes made during human adaptation.</t>
  </si>
  <si>
    <t>Adaptation step</t>
  </si>
  <si>
    <t>NHP / starting value</t>
  </si>
  <si>
    <t>Human / target value</t>
  </si>
  <si>
    <t>Rationale / provenance</t>
  </si>
  <si>
    <t>Cardiac output scaling</t>
  </si>
  <si>
    <t>Adjusted from NHP to human using Loccisano et al. (2011).</t>
  </si>
  <si>
    <t>Human half-life target</t>
  </si>
  <si>
    <t>Tmc fitted/scaled to match Li et al. (2018) half-life.</t>
  </si>
  <si>
    <t>Saturable resorption rate scaling</t>
  </si>
  <si>
    <t>Human value selected to reproduce target human half-life.</t>
  </si>
  <si>
    <t>Human value selected to reproduce target human half-life; note NHP PFOA refit under 90% bioavailability gives Tmc 0.15 mg/h/kg.</t>
  </si>
  <si>
    <t>Bioavailability adaptation</t>
  </si>
  <si>
    <t>NHP fitted value was low; human application assumes 90% oral bioavailability typical of food/water exposure.</t>
  </si>
  <si>
    <t>Affinity adaptation under 90% bioavailability</t>
  </si>
  <si>
    <t>Article states 0.008 mg/L is used in human model under higher bioavailability assumption.</t>
  </si>
  <si>
    <t>Model Assumptions and Scope</t>
  </si>
  <si>
    <t>Topic</t>
  </si>
  <si>
    <t>Assumption / implementation</t>
  </si>
  <si>
    <t>Paper DOI</t>
  </si>
  <si>
    <t>Full-text source</t>
  </si>
  <si>
    <t>Model structure</t>
  </si>
  <si>
    <t>Three compartments: central/primary, deep/second, and renal filtrate.</t>
  </si>
  <si>
    <t>https://academic.oup.com/toxsci/article/207/1/139/8164135</t>
  </si>
  <si>
    <t>Renal mechanism</t>
  </si>
  <si>
    <t>Saturable reabsorption from filtrate to central compartment follows Michaelis–Menten kinetics characterized by Tmc and Kt.</t>
  </si>
  <si>
    <t>Core chemical-specific parameters</t>
  </si>
  <si>
    <t>bioAv, VCC, Tmc, Kt, Free, k12, k21, ka.</t>
  </si>
  <si>
    <t>Human adaptation</t>
  </si>
  <si>
    <t>BW and QCC are changed to human values; Tmc is fitted/scaled to target human half-life; other parameters are generally held constant unless specifically refit/assumed.</t>
  </si>
  <si>
    <t>Age scope</t>
  </si>
  <si>
    <t>Human application is intended for adults over age 20.</t>
  </si>
  <si>
    <t>Pregnancy/lactation</t>
  </si>
  <si>
    <t>Model does not account for pregnancy or breastfeeding; developmental and immunological endpoints were not selected for model evaluation.</t>
  </si>
  <si>
    <t>PFOA bioavailability</t>
  </si>
  <si>
    <t>Human model uses 90% bioavailability; lower NHP fitted bioavailability is treated as experiment-specific.</t>
  </si>
  <si>
    <t>PFHxS assumptions</t>
  </si>
  <si>
    <t>ka and Kt assumed similar to PFOS; VCC and Tmc fitted to NHP data; human Tmc scaled to 5.3-year half-life.</t>
  </si>
  <si>
    <t>PFBS exclusion</t>
  </si>
  <si>
    <t>PFBS was not pursued because its short half-life (&lt;7 days) makes saturable renal resorption less relevant.</t>
  </si>
  <si>
    <t>Parameter identifiability</t>
  </si>
  <si>
    <t>Free, ka, k12, k21 were assigned set values after identifiability/collinearity evaluation; VCC, Tmc, Kt and PFOA bioAv were estimated for PFOS/PFOA NHP fits.</t>
  </si>
  <si>
    <t>Sensitivity/robustness</t>
  </si>
  <si>
    <t>Changing ka, k12 or k21 by up to two orders of magnitude changed fitted VCC/Tmc/Kt/bioAv by &lt;10% on average; Free is strongly correlated with resorption parameters.</t>
  </si>
  <si>
    <t>FAIR / Provenance Notes</t>
  </si>
  <si>
    <t>Notes on inheritance, calibration and semantic interpretation.</t>
  </si>
  <si>
    <t>Issue</t>
  </si>
  <si>
    <t>FAIR interpretation</t>
  </si>
  <si>
    <t>Human effective set</t>
  </si>
  <si>
    <t>Not every parameter is repeated in the human rows of Tables 1/3. The article explicitly states remaining parameters were held constant between animal and human models (except specified PFOA changes); this workbook therefore marks inherited human-effective values distinctly.</t>
  </si>
  <si>
    <t>NHP-to-human provenance</t>
  </si>
  <si>
    <t>VCC values are fitted to nonhuman primate data and then carried into human application rather than newly measured in humans.</t>
  </si>
  <si>
    <t>Renal parameter coupling</t>
  </si>
  <si>
    <t>Free is highly correlated with Tmc and Kt; these should not be treated as independent evidence sources.</t>
  </si>
  <si>
    <t>PFOA scenario dependency</t>
  </si>
  <si>
    <t>PFOA NHP fit has bioAv 0.32 and Kt 0.017 mg/L, but the human application uses bioAv 0.9 and Kt 0.008 mg/L. Both are retained to preserve provenance.</t>
  </si>
  <si>
    <t>PFHxS bioAv, Kt and ka are assumed PFOS-like; VCC/Tmc are fitted to NHP data, and Tmc is then human-scaled using a target half-life.</t>
  </si>
  <si>
    <t>Model-purpose limitation</t>
  </si>
  <si>
    <t>No pregnancy or breastfeeding means this model should not be directly substituted for Verner/Loccisano in developmental exposure questions.</t>
  </si>
  <si>
    <t>Master FAIR-Style Parameter Table</t>
  </si>
  <si>
    <t>Unified human-effective and NHP-provenance records for LLM training / semantic annotation.</t>
  </si>
  <si>
    <t>Model ID</t>
  </si>
  <si>
    <t>Species / application</t>
  </si>
  <si>
    <t>Life stage</t>
  </si>
  <si>
    <t>Subject</t>
  </si>
  <si>
    <t>Value</t>
  </si>
  <si>
    <t>CI low</t>
  </si>
  <si>
    <t>CI high</t>
  </si>
  <si>
    <t>Compartment / process</t>
  </si>
  <si>
    <t>Value status</t>
  </si>
  <si>
    <t>Evidence / derivation</t>
  </si>
  <si>
    <t>Dean2025_3C</t>
  </si>
  <si>
    <t>Human effective</t>
  </si>
  <si>
    <t>Physiology</t>
  </si>
  <si>
    <t>Adult &gt;20 y</t>
  </si>
  <si>
    <t>Human</t>
  </si>
  <si>
    <t>Systemic / renal TK</t>
  </si>
  <si>
    <t>NHP source fit</t>
  </si>
  <si>
    <t>NHP study</t>
  </si>
  <si>
    <t>Nonhuman primate</t>
  </si>
  <si>
    <t>Source fit / fixed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</si>
</sst>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5">
    <font>
      <sz val="11"/>
      <name val="Carlito"/>
    </font>
    <font>
      <b/>
      <sz val="15"/>
      <color rgb="FFFFFFFF"/>
      <name val="Carlito"/>
    </font>
    <font>
      <i/>
      <sz val="11"/>
      <color rgb="FF404040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anStructure" displayName="DeanStructure" ref="A4:G9" totalsRowShown="0">
  <tableColumns count="7">
    <tableColumn id="1" xr3:uid="{00000000-0010-0000-0000-000001000000}" name="Element"/>
    <tableColumn id="2" xr3:uid="{00000000-0010-0000-0000-000002000000}" name="Type"/>
    <tableColumn id="3" xr3:uid="{00000000-0010-0000-0000-000003000000}" name="Direction / relation"/>
    <tableColumn id="4" xr3:uid="{00000000-0010-0000-0000-000004000000}" name="Applies during"/>
    <tableColumn id="5" xr3:uid="{00000000-0010-0000-0000-000005000000}" name="Notes"/>
    <tableColumn id="6" xr3:uid="{00000000-0010-0000-0000-000006000000}" name="Paper location"/>
    <tableColumn id="7" xr3:uid="{00000000-0010-0000-0000-000007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anNHPParams" displayName="DeanNHPParams" ref="A4:K40" totalsRowShown="0">
  <tableColumns count="11">
    <tableColumn id="1" xr3:uid="{00000000-0010-0000-0100-000001000000}" name="Parameter class"/>
    <tableColumn id="2" xr3:uid="{00000000-0010-0000-0100-000002000000}" name="Parameter name"/>
    <tableColumn id="3" xr3:uid="{00000000-0010-0000-0100-000003000000}" name="Symbol"/>
    <tableColumn id="4" xr3:uid="{00000000-0010-0000-0100-000004000000}" name="Compound"/>
    <tableColumn id="5" xr3:uid="{00000000-0010-0000-0100-000005000000}" name="Mean / value"/>
    <tableColumn id="6" xr3:uid="{00000000-0010-0000-0100-000006000000}" name="95% CI low"/>
    <tableColumn id="7" xr3:uid="{00000000-0010-0000-0100-000007000000}" name="95% CI high"/>
    <tableColumn id="8" xr3:uid="{00000000-0010-0000-0100-000008000000}" name="Unit"/>
    <tableColumn id="9" xr3:uid="{00000000-0010-0000-0100-000009000000}" name="Origin / derivation"/>
    <tableColumn id="10" xr3:uid="{00000000-0010-0000-0100-00000A000000}" name="Paper table"/>
    <tableColumn id="11" xr3:uid="{00000000-0010-0000-0100-00000B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anHumanParams" displayName="DeanHumanParams" ref="A4:K43" totalsRowShown="0">
  <tableColumns count="11">
    <tableColumn id="1" xr3:uid="{00000000-0010-0000-0200-000001000000}" name="Parameter class"/>
    <tableColumn id="2" xr3:uid="{00000000-0010-0000-0200-000002000000}" name="Parameter name"/>
    <tableColumn id="3" xr3:uid="{00000000-0010-0000-0200-000003000000}" name="Symbol"/>
    <tableColumn id="4" xr3:uid="{00000000-0010-0000-0200-000004000000}" name="Compound"/>
    <tableColumn id="5" xr3:uid="{00000000-0010-0000-0200-000005000000}" name="Human effective value"/>
    <tableColumn id="6" xr3:uid="{00000000-0010-0000-0200-000006000000}" name="Unit"/>
    <tableColumn id="7" xr3:uid="{00000000-0010-0000-0200-000007000000}" name="Human value status"/>
    <tableColumn id="8" xr3:uid="{00000000-0010-0000-0200-000008000000}" name="Directly in human table row?"/>
    <tableColumn id="9" xr3:uid="{00000000-0010-0000-0200-000009000000}" name="Origin / derivation"/>
    <tableColumn id="10" xr3:uid="{00000000-0010-0000-0200-00000A000000}" name="Paper location"/>
    <tableColumn id="11" xr3:uid="{00000000-0010-0000-0200-00000B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anScaling" displayName="DeanScaling" ref="A4:G15" totalsRowShown="0">
  <tableColumns count="7">
    <tableColumn id="1" xr3:uid="{00000000-0010-0000-0300-000001000000}" name="Compound"/>
    <tableColumn id="2" xr3:uid="{00000000-0010-0000-0300-000002000000}" name="Adaptation step"/>
    <tableColumn id="3" xr3:uid="{00000000-0010-0000-0300-000003000000}" name="Symbol"/>
    <tableColumn id="4" xr3:uid="{00000000-0010-0000-0300-000004000000}" name="NHP / starting value"/>
    <tableColumn id="5" xr3:uid="{00000000-0010-0000-0300-000005000000}" name="Human / target value"/>
    <tableColumn id="6" xr3:uid="{00000000-0010-0000-0300-000006000000}" name="Unit"/>
    <tableColumn id="7" xr3:uid="{00000000-0010-0000-0300-000007000000}" name="Rationale / proven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anAssumptions" displayName="DeanAssumptions" ref="A3:D14" totalsRowShown="0">
  <tableColumns count="4">
    <tableColumn id="1" xr3:uid="{00000000-0010-0000-0400-000001000000}" name="Topic"/>
    <tableColumn id="2" xr3:uid="{00000000-0010-0000-0400-000002000000}" name="Assumption / implementation"/>
    <tableColumn id="3" xr3:uid="{00000000-0010-0000-0400-000003000000}" name="Paper DOI"/>
    <tableColumn id="4" xr3:uid="{00000000-0010-0000-0400-000004000000}" name="Full-text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anFAIR" displayName="DeanFAIR" ref="A4:D10" totalsRowShown="0">
  <tableColumns count="4">
    <tableColumn id="1" xr3:uid="{00000000-0010-0000-0500-000001000000}" name="Issue"/>
    <tableColumn id="2" xr3:uid="{00000000-0010-0000-0500-000002000000}" name="FAIR interpretation"/>
    <tableColumn id="3" xr3:uid="{00000000-0010-0000-0500-000003000000}" name="Paper DOI"/>
    <tableColumn id="4" xr3:uid="{00000000-0010-0000-0500-000004000000}" name="Full-text 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anMaster" displayName="DeanMaster" ref="A4:Q79" totalsRowShown="0">
  <tableColumns count="17">
    <tableColumn id="1" xr3:uid="{00000000-0010-0000-0600-000001000000}" name="Model ID"/>
    <tableColumn id="2" xr3:uid="{00000000-0010-0000-0600-000002000000}" name="Species / application"/>
    <tableColumn id="3" xr3:uid="{00000000-0010-0000-0600-000003000000}" name="Parameter class"/>
    <tableColumn id="4" xr3:uid="{00000000-0010-0000-0600-000004000000}" name="Life stage"/>
    <tableColumn id="5" xr3:uid="{00000000-0010-0000-0600-000005000000}" name="Subject"/>
    <tableColumn id="6" xr3:uid="{00000000-0010-0000-0600-000006000000}" name="Compound"/>
    <tableColumn id="7" xr3:uid="{00000000-0010-0000-0600-000007000000}" name="Parameter name"/>
    <tableColumn id="8" xr3:uid="{00000000-0010-0000-0600-000008000000}" name="Symbol"/>
    <tableColumn id="9" xr3:uid="{00000000-0010-0000-0600-000009000000}" name="Value"/>
    <tableColumn id="10" xr3:uid="{00000000-0010-0000-0600-00000A000000}" name="CI low"/>
    <tableColumn id="11" xr3:uid="{00000000-0010-0000-0600-00000B000000}" name="CI high"/>
    <tableColumn id="12" xr3:uid="{00000000-0010-0000-0600-00000C000000}" name="Unit"/>
    <tableColumn id="13" xr3:uid="{00000000-0010-0000-0600-00000D000000}" name="Compartment / process"/>
    <tableColumn id="14" xr3:uid="{00000000-0010-0000-0600-00000E000000}" name="Value status"/>
    <tableColumn id="15" xr3:uid="{00000000-0010-0000-0600-00000F000000}" name="Evidence / derivation"/>
    <tableColumn id="16" xr3:uid="{00000000-0010-0000-0600-000010000000}" name="Paper location"/>
    <tableColumn id="17" xr3:uid="{00000000-0010-0000-0600-000011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zoomScaleSheetLayoutView="100" workbookViewId="0"/>
  </sheetViews>
  <sheetFormatPr defaultRowHeight="15"/>
  <cols>
    <col min="1" max="1" width="30" customWidth="1"/>
    <col min="2" max="2" width="96" customWidth="1"/>
  </cols>
  <sheetData>
    <row r="1" spans="1:8" ht="27.9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32.1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>
      <c r="A4" s="1" t="s">
        <v>2</v>
      </c>
      <c r="B4" s="2" t="s">
        <v>3</v>
      </c>
    </row>
    <row r="5" spans="1:8">
      <c r="A5" s="1" t="s">
        <v>4</v>
      </c>
      <c r="B5" s="2" t="s">
        <v>5</v>
      </c>
    </row>
    <row r="6" spans="1:8">
      <c r="A6" s="1" t="s">
        <v>6</v>
      </c>
      <c r="B6" s="2" t="s">
        <v>7</v>
      </c>
    </row>
    <row r="7" spans="1:8">
      <c r="A7" s="1" t="s">
        <v>8</v>
      </c>
      <c r="B7" s="2" t="s">
        <v>9</v>
      </c>
    </row>
    <row r="8" spans="1:8">
      <c r="A8" s="1" t="s">
        <v>10</v>
      </c>
      <c r="B8" s="2" t="s">
        <v>11</v>
      </c>
    </row>
    <row r="9" spans="1:8">
      <c r="A9" s="1" t="s">
        <v>12</v>
      </c>
      <c r="B9" s="2" t="s">
        <v>13</v>
      </c>
    </row>
    <row r="10" spans="1:8">
      <c r="A10" s="1" t="s">
        <v>14</v>
      </c>
      <c r="B10" s="2" t="s">
        <v>15</v>
      </c>
    </row>
    <row r="11" spans="1:8">
      <c r="A11" s="1" t="s">
        <v>16</v>
      </c>
      <c r="B11" s="2" t="s">
        <v>17</v>
      </c>
    </row>
    <row r="12" spans="1:8">
      <c r="A12" s="1" t="s">
        <v>18</v>
      </c>
      <c r="B12" s="2" t="s">
        <v>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zoomScaleSheetLayoutView="100" workbookViewId="0"/>
  </sheetViews>
  <sheetFormatPr defaultRowHeight="15"/>
  <cols>
    <col min="1" max="1" width="24" customWidth="1"/>
    <col min="2" max="2" width="18" customWidth="1"/>
    <col min="3" max="3" width="42" customWidth="1"/>
    <col min="4" max="4" width="20" customWidth="1"/>
    <col min="5" max="5" width="62" customWidth="1"/>
    <col min="6" max="6" width="26" customWidth="1"/>
    <col min="7" max="7" width="42" customWidth="1"/>
  </cols>
  <sheetData>
    <row r="1" spans="1:8" ht="27.95" customHeight="1">
      <c r="A1" s="6" t="s">
        <v>20</v>
      </c>
      <c r="B1" s="6"/>
      <c r="C1" s="6"/>
      <c r="D1" s="6"/>
      <c r="E1" s="6"/>
      <c r="F1" s="6"/>
      <c r="G1" s="6"/>
      <c r="H1" s="6"/>
    </row>
    <row r="2" spans="1:8" ht="32.1" customHeight="1">
      <c r="A2" s="7" t="s">
        <v>21</v>
      </c>
      <c r="B2" s="7"/>
      <c r="C2" s="7"/>
      <c r="D2" s="7"/>
      <c r="E2" s="7"/>
      <c r="F2" s="7"/>
      <c r="G2" s="7"/>
      <c r="H2" s="7"/>
    </row>
    <row r="4" spans="1:8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</row>
    <row r="5" spans="1:8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5</v>
      </c>
    </row>
    <row r="6" spans="1:8">
      <c r="A6" s="4" t="s">
        <v>35</v>
      </c>
      <c r="B6" s="4" t="s">
        <v>30</v>
      </c>
      <c r="C6" s="4" t="s">
        <v>36</v>
      </c>
      <c r="D6" s="4" t="s">
        <v>32</v>
      </c>
      <c r="E6" s="4" t="s">
        <v>37</v>
      </c>
      <c r="F6" s="4" t="s">
        <v>34</v>
      </c>
      <c r="G6" s="4" t="s">
        <v>5</v>
      </c>
    </row>
    <row r="7" spans="1:8">
      <c r="A7" s="4" t="s">
        <v>38</v>
      </c>
      <c r="B7" s="4" t="s">
        <v>30</v>
      </c>
      <c r="C7" s="4" t="s">
        <v>39</v>
      </c>
      <c r="D7" s="4" t="s">
        <v>32</v>
      </c>
      <c r="E7" s="4" t="s">
        <v>40</v>
      </c>
      <c r="F7" s="4" t="s">
        <v>34</v>
      </c>
      <c r="G7" s="4" t="s">
        <v>5</v>
      </c>
    </row>
    <row r="8" spans="1:8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5</v>
      </c>
    </row>
    <row r="9" spans="1:8">
      <c r="A9" s="4" t="s">
        <v>47</v>
      </c>
      <c r="B9" s="4" t="s">
        <v>42</v>
      </c>
      <c r="C9" s="4" t="s">
        <v>48</v>
      </c>
      <c r="D9" s="4" t="s">
        <v>32</v>
      </c>
      <c r="E9" s="4" t="s">
        <v>49</v>
      </c>
      <c r="F9" s="4" t="s">
        <v>50</v>
      </c>
      <c r="G9" s="4" t="s">
        <v>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zoomScaleNormal="100" zoomScaleSheetLayoutView="100" workbookViewId="0"/>
  </sheetViews>
  <sheetFormatPr defaultRowHeight="15"/>
  <cols>
    <col min="1" max="1" width="22" customWidth="1"/>
    <col min="2" max="2" width="40" customWidth="1"/>
    <col min="3" max="3" width="15" customWidth="1"/>
    <col min="4" max="4" width="12" customWidth="1"/>
    <col min="5" max="7" width="16" customWidth="1"/>
    <col min="8" max="8" width="18" customWidth="1"/>
    <col min="9" max="9" width="64" customWidth="1"/>
    <col min="10" max="10" width="16" customWidth="1"/>
    <col min="11" max="11" width="42" customWidth="1"/>
  </cols>
  <sheetData>
    <row r="1" spans="1:11" ht="27.95" customHeight="1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2.1" customHeight="1">
      <c r="A2" s="7" t="s">
        <v>52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28</v>
      </c>
    </row>
    <row r="5" spans="1:11">
      <c r="A5" s="4" t="s">
        <v>63</v>
      </c>
      <c r="B5" s="4" t="s">
        <v>64</v>
      </c>
      <c r="C5" s="4" t="s">
        <v>65</v>
      </c>
      <c r="D5" s="4" t="s">
        <v>66</v>
      </c>
      <c r="E5" s="5">
        <v>5</v>
      </c>
      <c r="F5" s="5"/>
      <c r="G5" s="5"/>
      <c r="H5" s="4" t="s">
        <v>67</v>
      </c>
      <c r="I5" s="4" t="s">
        <v>68</v>
      </c>
      <c r="J5" s="4" t="s">
        <v>69</v>
      </c>
      <c r="K5" s="4" t="s">
        <v>5</v>
      </c>
    </row>
    <row r="6" spans="1:11">
      <c r="A6" s="4" t="s">
        <v>63</v>
      </c>
      <c r="B6" s="4" t="s">
        <v>70</v>
      </c>
      <c r="C6" s="4" t="s">
        <v>71</v>
      </c>
      <c r="D6" s="4" t="s">
        <v>66</v>
      </c>
      <c r="E6" s="5">
        <v>19.8</v>
      </c>
      <c r="F6" s="5"/>
      <c r="G6" s="5"/>
      <c r="H6" s="4" t="s">
        <v>72</v>
      </c>
      <c r="I6" s="4" t="s">
        <v>73</v>
      </c>
      <c r="J6" s="4" t="s">
        <v>69</v>
      </c>
      <c r="K6" s="4" t="s">
        <v>5</v>
      </c>
    </row>
    <row r="7" spans="1:11">
      <c r="A7" s="4" t="s">
        <v>63</v>
      </c>
      <c r="B7" s="4" t="s">
        <v>74</v>
      </c>
      <c r="C7" s="4" t="s">
        <v>75</v>
      </c>
      <c r="D7" s="4" t="s">
        <v>66</v>
      </c>
      <c r="E7" s="5">
        <v>0.15</v>
      </c>
      <c r="F7" s="5"/>
      <c r="G7" s="5"/>
      <c r="H7" s="4" t="s">
        <v>76</v>
      </c>
      <c r="I7" s="4" t="s">
        <v>73</v>
      </c>
      <c r="J7" s="4" t="s">
        <v>69</v>
      </c>
      <c r="K7" s="4" t="s">
        <v>5</v>
      </c>
    </row>
    <row r="8" spans="1:11">
      <c r="A8" s="4" t="s">
        <v>63</v>
      </c>
      <c r="B8" s="4" t="s">
        <v>77</v>
      </c>
      <c r="C8" s="4" t="s">
        <v>78</v>
      </c>
      <c r="D8" s="4" t="s">
        <v>66</v>
      </c>
      <c r="E8" s="5">
        <v>4.0000000000000002E-4</v>
      </c>
      <c r="F8" s="5"/>
      <c r="G8" s="5"/>
      <c r="H8" s="4" t="s">
        <v>79</v>
      </c>
      <c r="I8" s="4" t="s">
        <v>80</v>
      </c>
      <c r="J8" s="4" t="s">
        <v>69</v>
      </c>
      <c r="K8" s="4" t="s">
        <v>5</v>
      </c>
    </row>
    <row r="9" spans="1:11">
      <c r="A9" s="4" t="s">
        <v>81</v>
      </c>
      <c r="B9" s="4" t="s">
        <v>82</v>
      </c>
      <c r="C9" s="4" t="s">
        <v>83</v>
      </c>
      <c r="D9" s="4" t="s">
        <v>66</v>
      </c>
      <c r="E9" s="5">
        <v>0.9</v>
      </c>
      <c r="F9" s="5"/>
      <c r="G9" s="5"/>
      <c r="H9" s="4" t="s">
        <v>76</v>
      </c>
      <c r="I9" s="4" t="s">
        <v>84</v>
      </c>
      <c r="J9" s="4" t="s">
        <v>69</v>
      </c>
      <c r="K9" s="4" t="s">
        <v>5</v>
      </c>
    </row>
    <row r="10" spans="1:11">
      <c r="A10" s="4" t="s">
        <v>81</v>
      </c>
      <c r="B10" s="4" t="s">
        <v>85</v>
      </c>
      <c r="C10" s="4" t="s">
        <v>86</v>
      </c>
      <c r="D10" s="4" t="s">
        <v>66</v>
      </c>
      <c r="E10" s="5">
        <v>0.24</v>
      </c>
      <c r="F10" s="5">
        <v>0.24</v>
      </c>
      <c r="G10" s="5">
        <v>0.25</v>
      </c>
      <c r="H10" s="4" t="s">
        <v>79</v>
      </c>
      <c r="I10" s="4" t="s">
        <v>87</v>
      </c>
      <c r="J10" s="4" t="s">
        <v>69</v>
      </c>
      <c r="K10" s="4" t="s">
        <v>5</v>
      </c>
    </row>
    <row r="11" spans="1:11">
      <c r="A11" s="4" t="s">
        <v>81</v>
      </c>
      <c r="B11" s="4" t="s">
        <v>88</v>
      </c>
      <c r="C11" s="4" t="s">
        <v>89</v>
      </c>
      <c r="D11" s="4" t="s">
        <v>66</v>
      </c>
      <c r="E11" s="5">
        <v>2.5</v>
      </c>
      <c r="F11" s="5">
        <v>2.31</v>
      </c>
      <c r="G11" s="5">
        <v>2.8</v>
      </c>
      <c r="H11" s="4" t="s">
        <v>90</v>
      </c>
      <c r="I11" s="4" t="s">
        <v>87</v>
      </c>
      <c r="J11" s="4" t="s">
        <v>69</v>
      </c>
      <c r="K11" s="4" t="s">
        <v>5</v>
      </c>
    </row>
    <row r="12" spans="1:11">
      <c r="A12" s="4" t="s">
        <v>81</v>
      </c>
      <c r="B12" s="4" t="s">
        <v>91</v>
      </c>
      <c r="C12" s="4" t="s">
        <v>92</v>
      </c>
      <c r="D12" s="4" t="s">
        <v>66</v>
      </c>
      <c r="E12" s="5">
        <v>4.0000000000000001E-3</v>
      </c>
      <c r="F12" s="5">
        <v>3.0000000000000001E-3</v>
      </c>
      <c r="G12" s="5">
        <v>4.0000000000000001E-3</v>
      </c>
      <c r="H12" s="4" t="s">
        <v>93</v>
      </c>
      <c r="I12" s="4" t="s">
        <v>87</v>
      </c>
      <c r="J12" s="4" t="s">
        <v>69</v>
      </c>
      <c r="K12" s="4" t="s">
        <v>5</v>
      </c>
    </row>
    <row r="13" spans="1:11">
      <c r="A13" s="4" t="s">
        <v>81</v>
      </c>
      <c r="B13" s="4" t="s">
        <v>94</v>
      </c>
      <c r="C13" s="4" t="s">
        <v>95</v>
      </c>
      <c r="D13" s="4" t="s">
        <v>66</v>
      </c>
      <c r="E13" s="5">
        <v>4.4999999999999997E-3</v>
      </c>
      <c r="F13" s="5"/>
      <c r="G13" s="5"/>
      <c r="H13" s="4" t="s">
        <v>76</v>
      </c>
      <c r="I13" s="4" t="s">
        <v>96</v>
      </c>
      <c r="J13" s="4" t="s">
        <v>69</v>
      </c>
      <c r="K13" s="4" t="s">
        <v>5</v>
      </c>
    </row>
    <row r="14" spans="1:11">
      <c r="A14" s="4" t="s">
        <v>81</v>
      </c>
      <c r="B14" s="4" t="s">
        <v>97</v>
      </c>
      <c r="C14" s="4" t="s">
        <v>98</v>
      </c>
      <c r="D14" s="4" t="s">
        <v>66</v>
      </c>
      <c r="E14" s="5">
        <v>3.3</v>
      </c>
      <c r="F14" s="5"/>
      <c r="G14" s="5"/>
      <c r="H14" s="4" t="s">
        <v>99</v>
      </c>
      <c r="I14" s="4" t="s">
        <v>100</v>
      </c>
      <c r="J14" s="4" t="s">
        <v>69</v>
      </c>
      <c r="K14" s="4" t="s">
        <v>5</v>
      </c>
    </row>
    <row r="15" spans="1:11">
      <c r="A15" s="4" t="s">
        <v>81</v>
      </c>
      <c r="B15" s="4" t="s">
        <v>101</v>
      </c>
      <c r="C15" s="4" t="s">
        <v>102</v>
      </c>
      <c r="D15" s="4" t="s">
        <v>66</v>
      </c>
      <c r="E15" s="5">
        <v>3.4</v>
      </c>
      <c r="F15" s="5"/>
      <c r="G15" s="5"/>
      <c r="H15" s="4" t="s">
        <v>99</v>
      </c>
      <c r="I15" s="4" t="s">
        <v>100</v>
      </c>
      <c r="J15" s="4" t="s">
        <v>69</v>
      </c>
      <c r="K15" s="4" t="s">
        <v>5</v>
      </c>
    </row>
    <row r="16" spans="1:11">
      <c r="A16" s="4" t="s">
        <v>81</v>
      </c>
      <c r="B16" s="4" t="s">
        <v>103</v>
      </c>
      <c r="C16" s="4" t="s">
        <v>104</v>
      </c>
      <c r="D16" s="4" t="s">
        <v>66</v>
      </c>
      <c r="E16" s="5">
        <v>132</v>
      </c>
      <c r="F16" s="5"/>
      <c r="G16" s="5"/>
      <c r="H16" s="4" t="s">
        <v>99</v>
      </c>
      <c r="I16" s="4" t="s">
        <v>73</v>
      </c>
      <c r="J16" s="4" t="s">
        <v>69</v>
      </c>
      <c r="K16" s="4" t="s">
        <v>5</v>
      </c>
    </row>
    <row r="17" spans="1:11">
      <c r="A17" s="4" t="s">
        <v>63</v>
      </c>
      <c r="B17" s="4" t="s">
        <v>64</v>
      </c>
      <c r="C17" s="4" t="s">
        <v>65</v>
      </c>
      <c r="D17" s="4" t="s">
        <v>105</v>
      </c>
      <c r="E17" s="5">
        <v>4.0999999999999996</v>
      </c>
      <c r="F17" s="5"/>
      <c r="G17" s="5"/>
      <c r="H17" s="4" t="s">
        <v>67</v>
      </c>
      <c r="I17" s="4" t="s">
        <v>68</v>
      </c>
      <c r="J17" s="4" t="s">
        <v>69</v>
      </c>
      <c r="K17" s="4" t="s">
        <v>5</v>
      </c>
    </row>
    <row r="18" spans="1:11">
      <c r="A18" s="4" t="s">
        <v>63</v>
      </c>
      <c r="B18" s="4" t="s">
        <v>70</v>
      </c>
      <c r="C18" s="4" t="s">
        <v>71</v>
      </c>
      <c r="D18" s="4" t="s">
        <v>105</v>
      </c>
      <c r="E18" s="5">
        <v>19.8</v>
      </c>
      <c r="F18" s="5"/>
      <c r="G18" s="5"/>
      <c r="H18" s="4" t="s">
        <v>72</v>
      </c>
      <c r="I18" s="4" t="s">
        <v>73</v>
      </c>
      <c r="J18" s="4" t="s">
        <v>69</v>
      </c>
      <c r="K18" s="4" t="s">
        <v>5</v>
      </c>
    </row>
    <row r="19" spans="1:11">
      <c r="A19" s="4" t="s">
        <v>63</v>
      </c>
      <c r="B19" s="4" t="s">
        <v>74</v>
      </c>
      <c r="C19" s="4" t="s">
        <v>75</v>
      </c>
      <c r="D19" s="4" t="s">
        <v>105</v>
      </c>
      <c r="E19" s="5">
        <v>0.15</v>
      </c>
      <c r="F19" s="5"/>
      <c r="G19" s="5"/>
      <c r="H19" s="4" t="s">
        <v>76</v>
      </c>
      <c r="I19" s="4" t="s">
        <v>73</v>
      </c>
      <c r="J19" s="4" t="s">
        <v>69</v>
      </c>
      <c r="K19" s="4" t="s">
        <v>5</v>
      </c>
    </row>
    <row r="20" spans="1:11">
      <c r="A20" s="4" t="s">
        <v>63</v>
      </c>
      <c r="B20" s="4" t="s">
        <v>77</v>
      </c>
      <c r="C20" s="4" t="s">
        <v>78</v>
      </c>
      <c r="D20" s="4" t="s">
        <v>105</v>
      </c>
      <c r="E20" s="5">
        <v>4.0000000000000002E-4</v>
      </c>
      <c r="F20" s="5"/>
      <c r="G20" s="5"/>
      <c r="H20" s="4" t="s">
        <v>79</v>
      </c>
      <c r="I20" s="4" t="s">
        <v>80</v>
      </c>
      <c r="J20" s="4" t="s">
        <v>69</v>
      </c>
      <c r="K20" s="4" t="s">
        <v>5</v>
      </c>
    </row>
    <row r="21" spans="1:11">
      <c r="A21" s="4" t="s">
        <v>81</v>
      </c>
      <c r="B21" s="4" t="s">
        <v>82</v>
      </c>
      <c r="C21" s="4" t="s">
        <v>83</v>
      </c>
      <c r="D21" s="4" t="s">
        <v>105</v>
      </c>
      <c r="E21" s="5">
        <v>0.32</v>
      </c>
      <c r="F21" s="5">
        <v>0.2</v>
      </c>
      <c r="G21" s="5">
        <v>0.46</v>
      </c>
      <c r="H21" s="4" t="s">
        <v>76</v>
      </c>
      <c r="I21" s="4" t="s">
        <v>87</v>
      </c>
      <c r="J21" s="4" t="s">
        <v>69</v>
      </c>
      <c r="K21" s="4" t="s">
        <v>5</v>
      </c>
    </row>
    <row r="22" spans="1:11">
      <c r="A22" s="4" t="s">
        <v>81</v>
      </c>
      <c r="B22" s="4" t="s">
        <v>85</v>
      </c>
      <c r="C22" s="4" t="s">
        <v>86</v>
      </c>
      <c r="D22" s="4" t="s">
        <v>105</v>
      </c>
      <c r="E22" s="5">
        <v>0.23</v>
      </c>
      <c r="F22" s="5">
        <v>0.18</v>
      </c>
      <c r="G22" s="5">
        <v>0.28999999999999998</v>
      </c>
      <c r="H22" s="4" t="s">
        <v>79</v>
      </c>
      <c r="I22" s="4" t="s">
        <v>87</v>
      </c>
      <c r="J22" s="4" t="s">
        <v>69</v>
      </c>
      <c r="K22" s="4" t="s">
        <v>5</v>
      </c>
    </row>
    <row r="23" spans="1:11">
      <c r="A23" s="4" t="s">
        <v>81</v>
      </c>
      <c r="B23" s="4" t="s">
        <v>88</v>
      </c>
      <c r="C23" s="4" t="s">
        <v>89</v>
      </c>
      <c r="D23" s="4" t="s">
        <v>105</v>
      </c>
      <c r="E23" s="5">
        <v>0.28000000000000003</v>
      </c>
      <c r="F23" s="5">
        <v>0.17</v>
      </c>
      <c r="G23" s="5">
        <v>0.53</v>
      </c>
      <c r="H23" s="4" t="s">
        <v>90</v>
      </c>
      <c r="I23" s="4" t="s">
        <v>87</v>
      </c>
      <c r="J23" s="4" t="s">
        <v>69</v>
      </c>
      <c r="K23" s="4" t="s">
        <v>5</v>
      </c>
    </row>
    <row r="24" spans="1:11">
      <c r="A24" s="4" t="s">
        <v>81</v>
      </c>
      <c r="B24" s="4" t="s">
        <v>91</v>
      </c>
      <c r="C24" s="4" t="s">
        <v>92</v>
      </c>
      <c r="D24" s="4" t="s">
        <v>105</v>
      </c>
      <c r="E24" s="5">
        <v>1.7000000000000001E-2</v>
      </c>
      <c r="F24" s="5">
        <v>0.01</v>
      </c>
      <c r="G24" s="5">
        <v>4.1000000000000002E-2</v>
      </c>
      <c r="H24" s="4" t="s">
        <v>93</v>
      </c>
      <c r="I24" s="4" t="s">
        <v>87</v>
      </c>
      <c r="J24" s="4" t="s">
        <v>69</v>
      </c>
      <c r="K24" s="4" t="s">
        <v>5</v>
      </c>
    </row>
    <row r="25" spans="1:11">
      <c r="A25" s="4" t="s">
        <v>81</v>
      </c>
      <c r="B25" s="4" t="s">
        <v>94</v>
      </c>
      <c r="C25" s="4" t="s">
        <v>95</v>
      </c>
      <c r="D25" s="4" t="s">
        <v>105</v>
      </c>
      <c r="E25" s="5">
        <v>1.1999999999999999E-3</v>
      </c>
      <c r="F25" s="5"/>
      <c r="G25" s="5"/>
      <c r="H25" s="4" t="s">
        <v>76</v>
      </c>
      <c r="I25" s="4" t="s">
        <v>96</v>
      </c>
      <c r="J25" s="4" t="s">
        <v>69</v>
      </c>
      <c r="K25" s="4" t="s">
        <v>5</v>
      </c>
    </row>
    <row r="26" spans="1:11">
      <c r="A26" s="4" t="s">
        <v>81</v>
      </c>
      <c r="B26" s="4" t="s">
        <v>97</v>
      </c>
      <c r="C26" s="4" t="s">
        <v>98</v>
      </c>
      <c r="D26" s="4" t="s">
        <v>105</v>
      </c>
      <c r="E26" s="5">
        <v>3.3</v>
      </c>
      <c r="F26" s="5"/>
      <c r="G26" s="5"/>
      <c r="H26" s="4" t="s">
        <v>99</v>
      </c>
      <c r="I26" s="4" t="s">
        <v>100</v>
      </c>
      <c r="J26" s="4" t="s">
        <v>69</v>
      </c>
      <c r="K26" s="4" t="s">
        <v>5</v>
      </c>
    </row>
    <row r="27" spans="1:11">
      <c r="A27" s="4" t="s">
        <v>81</v>
      </c>
      <c r="B27" s="4" t="s">
        <v>101</v>
      </c>
      <c r="C27" s="4" t="s">
        <v>102</v>
      </c>
      <c r="D27" s="4" t="s">
        <v>105</v>
      </c>
      <c r="E27" s="5">
        <v>3.4</v>
      </c>
      <c r="F27" s="5"/>
      <c r="G27" s="5"/>
      <c r="H27" s="4" t="s">
        <v>99</v>
      </c>
      <c r="I27" s="4" t="s">
        <v>100</v>
      </c>
      <c r="J27" s="4" t="s">
        <v>69</v>
      </c>
      <c r="K27" s="4" t="s">
        <v>5</v>
      </c>
    </row>
    <row r="28" spans="1:11">
      <c r="A28" s="4" t="s">
        <v>81</v>
      </c>
      <c r="B28" s="4" t="s">
        <v>103</v>
      </c>
      <c r="C28" s="4" t="s">
        <v>104</v>
      </c>
      <c r="D28" s="4" t="s">
        <v>105</v>
      </c>
      <c r="E28" s="5">
        <v>230</v>
      </c>
      <c r="F28" s="5"/>
      <c r="G28" s="5"/>
      <c r="H28" s="4" t="s">
        <v>99</v>
      </c>
      <c r="I28" s="4" t="s">
        <v>73</v>
      </c>
      <c r="J28" s="4" t="s">
        <v>69</v>
      </c>
      <c r="K28" s="4" t="s">
        <v>5</v>
      </c>
    </row>
    <row r="29" spans="1:11">
      <c r="A29" s="4" t="s">
        <v>63</v>
      </c>
      <c r="B29" s="4" t="s">
        <v>64</v>
      </c>
      <c r="C29" s="4" t="s">
        <v>65</v>
      </c>
      <c r="D29" s="4" t="s">
        <v>106</v>
      </c>
      <c r="E29" s="5">
        <v>5</v>
      </c>
      <c r="F29" s="5"/>
      <c r="G29" s="5"/>
      <c r="H29" s="4" t="s">
        <v>67</v>
      </c>
      <c r="I29" s="4" t="s">
        <v>107</v>
      </c>
      <c r="J29" s="4" t="s">
        <v>108</v>
      </c>
      <c r="K29" s="4" t="s">
        <v>5</v>
      </c>
    </row>
    <row r="30" spans="1:11">
      <c r="A30" s="4" t="s">
        <v>63</v>
      </c>
      <c r="B30" s="4" t="s">
        <v>70</v>
      </c>
      <c r="C30" s="4" t="s">
        <v>71</v>
      </c>
      <c r="D30" s="4" t="s">
        <v>106</v>
      </c>
      <c r="E30" s="5">
        <v>19.8</v>
      </c>
      <c r="F30" s="5"/>
      <c r="G30" s="5"/>
      <c r="H30" s="4" t="s">
        <v>72</v>
      </c>
      <c r="I30" s="4" t="s">
        <v>73</v>
      </c>
      <c r="J30" s="4" t="s">
        <v>108</v>
      </c>
      <c r="K30" s="4" t="s">
        <v>5</v>
      </c>
    </row>
    <row r="31" spans="1:11">
      <c r="A31" s="4" t="s">
        <v>63</v>
      </c>
      <c r="B31" s="4" t="s">
        <v>74</v>
      </c>
      <c r="C31" s="4" t="s">
        <v>75</v>
      </c>
      <c r="D31" s="4" t="s">
        <v>106</v>
      </c>
      <c r="E31" s="5">
        <v>0.15</v>
      </c>
      <c r="F31" s="5"/>
      <c r="G31" s="5"/>
      <c r="H31" s="4" t="s">
        <v>76</v>
      </c>
      <c r="I31" s="4" t="s">
        <v>73</v>
      </c>
      <c r="J31" s="4" t="s">
        <v>108</v>
      </c>
      <c r="K31" s="4" t="s">
        <v>5</v>
      </c>
    </row>
    <row r="32" spans="1:11">
      <c r="A32" s="4" t="s">
        <v>63</v>
      </c>
      <c r="B32" s="4" t="s">
        <v>77</v>
      </c>
      <c r="C32" s="4" t="s">
        <v>78</v>
      </c>
      <c r="D32" s="4" t="s">
        <v>106</v>
      </c>
      <c r="E32" s="5">
        <v>4.0000000000000002E-4</v>
      </c>
      <c r="F32" s="5"/>
      <c r="G32" s="5"/>
      <c r="H32" s="4" t="s">
        <v>79</v>
      </c>
      <c r="I32" s="4" t="s">
        <v>80</v>
      </c>
      <c r="J32" s="4" t="s">
        <v>108</v>
      </c>
      <c r="K32" s="4" t="s">
        <v>5</v>
      </c>
    </row>
    <row r="33" spans="1:11">
      <c r="A33" s="4" t="s">
        <v>81</v>
      </c>
      <c r="B33" s="4" t="s">
        <v>82</v>
      </c>
      <c r="C33" s="4" t="s">
        <v>83</v>
      </c>
      <c r="D33" s="4" t="s">
        <v>106</v>
      </c>
      <c r="E33" s="5">
        <v>0.9</v>
      </c>
      <c r="F33" s="5"/>
      <c r="G33" s="5"/>
      <c r="H33" s="4" t="s">
        <v>76</v>
      </c>
      <c r="I33" s="4" t="s">
        <v>109</v>
      </c>
      <c r="J33" s="4" t="s">
        <v>108</v>
      </c>
      <c r="K33" s="4" t="s">
        <v>5</v>
      </c>
    </row>
    <row r="34" spans="1:11">
      <c r="A34" s="4" t="s">
        <v>81</v>
      </c>
      <c r="B34" s="4" t="s">
        <v>85</v>
      </c>
      <c r="C34" s="4" t="s">
        <v>86</v>
      </c>
      <c r="D34" s="4" t="s">
        <v>106</v>
      </c>
      <c r="E34" s="5">
        <v>0.17</v>
      </c>
      <c r="F34" s="5">
        <v>0.16</v>
      </c>
      <c r="G34" s="5">
        <v>0.2</v>
      </c>
      <c r="H34" s="4" t="s">
        <v>79</v>
      </c>
      <c r="I34" s="4" t="s">
        <v>87</v>
      </c>
      <c r="J34" s="4" t="s">
        <v>108</v>
      </c>
      <c r="K34" s="4" t="s">
        <v>5</v>
      </c>
    </row>
    <row r="35" spans="1:11">
      <c r="A35" s="4" t="s">
        <v>81</v>
      </c>
      <c r="B35" s="4" t="s">
        <v>88</v>
      </c>
      <c r="C35" s="4" t="s">
        <v>89</v>
      </c>
      <c r="D35" s="4" t="s">
        <v>106</v>
      </c>
      <c r="E35" s="5">
        <v>0.21</v>
      </c>
      <c r="F35" s="5">
        <v>0.18</v>
      </c>
      <c r="G35" s="5">
        <v>0.25</v>
      </c>
      <c r="H35" s="4" t="s">
        <v>90</v>
      </c>
      <c r="I35" s="4" t="s">
        <v>87</v>
      </c>
      <c r="J35" s="4" t="s">
        <v>108</v>
      </c>
      <c r="K35" s="4" t="s">
        <v>5</v>
      </c>
    </row>
    <row r="36" spans="1:11">
      <c r="A36" s="4" t="s">
        <v>81</v>
      </c>
      <c r="B36" s="4" t="s">
        <v>91</v>
      </c>
      <c r="C36" s="4" t="s">
        <v>92</v>
      </c>
      <c r="D36" s="4" t="s">
        <v>106</v>
      </c>
      <c r="E36" s="5">
        <v>4.0000000000000001E-3</v>
      </c>
      <c r="F36" s="5"/>
      <c r="G36" s="5"/>
      <c r="H36" s="4" t="s">
        <v>93</v>
      </c>
      <c r="I36" s="4" t="s">
        <v>109</v>
      </c>
      <c r="J36" s="4" t="s">
        <v>108</v>
      </c>
      <c r="K36" s="4" t="s">
        <v>5</v>
      </c>
    </row>
    <row r="37" spans="1:11">
      <c r="A37" s="4" t="s">
        <v>81</v>
      </c>
      <c r="B37" s="4" t="s">
        <v>94</v>
      </c>
      <c r="C37" s="4" t="s">
        <v>95</v>
      </c>
      <c r="D37" s="4" t="s">
        <v>106</v>
      </c>
      <c r="E37" s="5">
        <v>8.9999999999999998E-4</v>
      </c>
      <c r="F37" s="5"/>
      <c r="G37" s="5"/>
      <c r="H37" s="4" t="s">
        <v>76</v>
      </c>
      <c r="I37" s="4" t="s">
        <v>96</v>
      </c>
      <c r="J37" s="4" t="s">
        <v>108</v>
      </c>
      <c r="K37" s="4" t="s">
        <v>5</v>
      </c>
    </row>
    <row r="38" spans="1:11">
      <c r="A38" s="4" t="s">
        <v>81</v>
      </c>
      <c r="B38" s="4" t="s">
        <v>97</v>
      </c>
      <c r="C38" s="4" t="s">
        <v>98</v>
      </c>
      <c r="D38" s="4" t="s">
        <v>106</v>
      </c>
      <c r="E38" s="5">
        <v>3.3</v>
      </c>
      <c r="F38" s="5"/>
      <c r="G38" s="5"/>
      <c r="H38" s="4" t="s">
        <v>99</v>
      </c>
      <c r="I38" s="4" t="s">
        <v>100</v>
      </c>
      <c r="J38" s="4" t="s">
        <v>108</v>
      </c>
      <c r="K38" s="4" t="s">
        <v>5</v>
      </c>
    </row>
    <row r="39" spans="1:11">
      <c r="A39" s="4" t="s">
        <v>81</v>
      </c>
      <c r="B39" s="4" t="s">
        <v>101</v>
      </c>
      <c r="C39" s="4" t="s">
        <v>102</v>
      </c>
      <c r="D39" s="4" t="s">
        <v>106</v>
      </c>
      <c r="E39" s="5">
        <v>3.4</v>
      </c>
      <c r="F39" s="5"/>
      <c r="G39" s="5"/>
      <c r="H39" s="4" t="s">
        <v>99</v>
      </c>
      <c r="I39" s="4" t="s">
        <v>100</v>
      </c>
      <c r="J39" s="4" t="s">
        <v>108</v>
      </c>
      <c r="K39" s="4" t="s">
        <v>5</v>
      </c>
    </row>
    <row r="40" spans="1:11">
      <c r="A40" s="4" t="s">
        <v>81</v>
      </c>
      <c r="B40" s="4" t="s">
        <v>103</v>
      </c>
      <c r="C40" s="4" t="s">
        <v>104</v>
      </c>
      <c r="D40" s="4" t="s">
        <v>106</v>
      </c>
      <c r="E40" s="5">
        <v>132</v>
      </c>
      <c r="F40" s="5"/>
      <c r="G40" s="5"/>
      <c r="H40" s="4" t="s">
        <v>99</v>
      </c>
      <c r="I40" s="4" t="s">
        <v>110</v>
      </c>
      <c r="J40" s="4" t="s">
        <v>108</v>
      </c>
      <c r="K40" s="4" t="s">
        <v>5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zoomScaleNormal="100" zoomScaleSheetLayoutView="100" workbookViewId="0"/>
  </sheetViews>
  <sheetFormatPr defaultRowHeight="15"/>
  <cols>
    <col min="1" max="1" width="22" customWidth="1"/>
    <col min="2" max="2" width="40" customWidth="1"/>
    <col min="3" max="3" width="15" customWidth="1"/>
    <col min="4" max="4" width="12" customWidth="1"/>
    <col min="5" max="6" width="18" customWidth="1"/>
    <col min="7" max="7" width="28" customWidth="1"/>
    <col min="8" max="8" width="22" customWidth="1"/>
    <col min="9" max="9" width="76" customWidth="1"/>
    <col min="10" max="10" width="22" customWidth="1"/>
    <col min="11" max="11" width="42" customWidth="1"/>
  </cols>
  <sheetData>
    <row r="1" spans="1:11" ht="27.95" customHeight="1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2.1" customHeight="1">
      <c r="A2" s="7" t="s">
        <v>112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>
      <c r="A4" s="3" t="s">
        <v>53</v>
      </c>
      <c r="B4" s="3" t="s">
        <v>54</v>
      </c>
      <c r="C4" s="3" t="s">
        <v>55</v>
      </c>
      <c r="D4" s="3" t="s">
        <v>56</v>
      </c>
      <c r="E4" s="3" t="s">
        <v>113</v>
      </c>
      <c r="F4" s="3" t="s">
        <v>60</v>
      </c>
      <c r="G4" s="3" t="s">
        <v>114</v>
      </c>
      <c r="H4" s="3" t="s">
        <v>115</v>
      </c>
      <c r="I4" s="3" t="s">
        <v>61</v>
      </c>
      <c r="J4" s="3" t="s">
        <v>27</v>
      </c>
      <c r="K4" s="3" t="s">
        <v>28</v>
      </c>
    </row>
    <row r="5" spans="1:11">
      <c r="A5" s="4" t="s">
        <v>63</v>
      </c>
      <c r="B5" s="4" t="s">
        <v>64</v>
      </c>
      <c r="C5" s="4" t="s">
        <v>65</v>
      </c>
      <c r="D5" s="4" t="s">
        <v>66</v>
      </c>
      <c r="E5" s="5">
        <v>70</v>
      </c>
      <c r="F5" s="4" t="s">
        <v>67</v>
      </c>
      <c r="G5" s="4" t="s">
        <v>116</v>
      </c>
      <c r="H5" s="4" t="s">
        <v>117</v>
      </c>
      <c r="I5" s="4" t="s">
        <v>80</v>
      </c>
      <c r="J5" s="4" t="s">
        <v>69</v>
      </c>
      <c r="K5" s="4" t="s">
        <v>5</v>
      </c>
    </row>
    <row r="6" spans="1:11">
      <c r="A6" s="4" t="s">
        <v>63</v>
      </c>
      <c r="B6" s="4" t="s">
        <v>70</v>
      </c>
      <c r="C6" s="4" t="s">
        <v>71</v>
      </c>
      <c r="D6" s="4" t="s">
        <v>66</v>
      </c>
      <c r="E6" s="5">
        <v>12.5</v>
      </c>
      <c r="F6" s="4" t="s">
        <v>72</v>
      </c>
      <c r="G6" s="4" t="s">
        <v>116</v>
      </c>
      <c r="H6" s="4" t="s">
        <v>117</v>
      </c>
      <c r="I6" s="4" t="s">
        <v>80</v>
      </c>
      <c r="J6" s="4" t="s">
        <v>69</v>
      </c>
      <c r="K6" s="4" t="s">
        <v>5</v>
      </c>
    </row>
    <row r="7" spans="1:11">
      <c r="A7" s="4" t="s">
        <v>81</v>
      </c>
      <c r="B7" s="4" t="s">
        <v>82</v>
      </c>
      <c r="C7" s="4" t="s">
        <v>83</v>
      </c>
      <c r="D7" s="4" t="s">
        <v>66</v>
      </c>
      <c r="E7" s="5">
        <v>0.9</v>
      </c>
      <c r="F7" s="4" t="s">
        <v>76</v>
      </c>
      <c r="G7" s="4" t="s">
        <v>116</v>
      </c>
      <c r="H7" s="4" t="s">
        <v>117</v>
      </c>
      <c r="I7" s="4" t="s">
        <v>118</v>
      </c>
      <c r="J7" s="4" t="s">
        <v>69</v>
      </c>
      <c r="K7" s="4" t="s">
        <v>5</v>
      </c>
    </row>
    <row r="8" spans="1:11">
      <c r="A8" s="4" t="s">
        <v>81</v>
      </c>
      <c r="B8" s="4" t="s">
        <v>88</v>
      </c>
      <c r="C8" s="4" t="s">
        <v>89</v>
      </c>
      <c r="D8" s="4" t="s">
        <v>66</v>
      </c>
      <c r="E8" s="5">
        <v>1.07</v>
      </c>
      <c r="F8" s="4" t="s">
        <v>90</v>
      </c>
      <c r="G8" s="4" t="s">
        <v>116</v>
      </c>
      <c r="H8" s="4" t="s">
        <v>117</v>
      </c>
      <c r="I8" s="4" t="s">
        <v>119</v>
      </c>
      <c r="J8" s="4" t="s">
        <v>69</v>
      </c>
      <c r="K8" s="4" t="s">
        <v>5</v>
      </c>
    </row>
    <row r="9" spans="1:11">
      <c r="A9" s="4" t="s">
        <v>81</v>
      </c>
      <c r="B9" s="4" t="s">
        <v>91</v>
      </c>
      <c r="C9" s="4" t="s">
        <v>92</v>
      </c>
      <c r="D9" s="4" t="s">
        <v>66</v>
      </c>
      <c r="E9" s="5">
        <v>4.0000000000000001E-3</v>
      </c>
      <c r="F9" s="4" t="s">
        <v>93</v>
      </c>
      <c r="G9" s="4" t="s">
        <v>116</v>
      </c>
      <c r="H9" s="4" t="s">
        <v>117</v>
      </c>
      <c r="I9" s="4" t="s">
        <v>120</v>
      </c>
      <c r="J9" s="4" t="s">
        <v>69</v>
      </c>
      <c r="K9" s="4" t="s">
        <v>5</v>
      </c>
    </row>
    <row r="10" spans="1:11">
      <c r="A10" s="4" t="s">
        <v>81</v>
      </c>
      <c r="B10" s="4" t="s">
        <v>121</v>
      </c>
      <c r="C10" s="4" t="s">
        <v>122</v>
      </c>
      <c r="D10" s="4" t="s">
        <v>66</v>
      </c>
      <c r="E10" s="5">
        <v>3.4</v>
      </c>
      <c r="F10" s="4" t="s">
        <v>123</v>
      </c>
      <c r="G10" s="4" t="s">
        <v>116</v>
      </c>
      <c r="H10" s="4" t="s">
        <v>117</v>
      </c>
      <c r="I10" s="4" t="s">
        <v>124</v>
      </c>
      <c r="J10" s="4" t="s">
        <v>69</v>
      </c>
      <c r="K10" s="4" t="s">
        <v>5</v>
      </c>
    </row>
    <row r="11" spans="1:11">
      <c r="A11" s="4" t="s">
        <v>63</v>
      </c>
      <c r="B11" s="4" t="s">
        <v>74</v>
      </c>
      <c r="C11" s="4" t="s">
        <v>75</v>
      </c>
      <c r="D11" s="4" t="s">
        <v>66</v>
      </c>
      <c r="E11" s="5">
        <v>0.15</v>
      </c>
      <c r="F11" s="4" t="s">
        <v>76</v>
      </c>
      <c r="G11" s="4" t="s">
        <v>125</v>
      </c>
      <c r="H11" s="4" t="s">
        <v>126</v>
      </c>
      <c r="I11" s="4" t="s">
        <v>127</v>
      </c>
      <c r="J11" s="4" t="s">
        <v>128</v>
      </c>
      <c r="K11" s="4" t="s">
        <v>5</v>
      </c>
    </row>
    <row r="12" spans="1:11">
      <c r="A12" s="4" t="s">
        <v>63</v>
      </c>
      <c r="B12" s="4" t="s">
        <v>77</v>
      </c>
      <c r="C12" s="4" t="s">
        <v>78</v>
      </c>
      <c r="D12" s="4" t="s">
        <v>66</v>
      </c>
      <c r="E12" s="5">
        <v>4.0000000000000002E-4</v>
      </c>
      <c r="F12" s="4" t="s">
        <v>79</v>
      </c>
      <c r="G12" s="4" t="s">
        <v>125</v>
      </c>
      <c r="H12" s="4" t="s">
        <v>126</v>
      </c>
      <c r="I12" s="4" t="s">
        <v>129</v>
      </c>
      <c r="J12" s="4" t="s">
        <v>128</v>
      </c>
      <c r="K12" s="4" t="s">
        <v>5</v>
      </c>
    </row>
    <row r="13" spans="1:11">
      <c r="A13" s="4" t="s">
        <v>81</v>
      </c>
      <c r="B13" s="4" t="s">
        <v>85</v>
      </c>
      <c r="C13" s="4" t="s">
        <v>86</v>
      </c>
      <c r="D13" s="4" t="s">
        <v>66</v>
      </c>
      <c r="E13" s="5">
        <v>0.24</v>
      </c>
      <c r="F13" s="4" t="s">
        <v>79</v>
      </c>
      <c r="G13" s="4" t="s">
        <v>125</v>
      </c>
      <c r="H13" s="4" t="s">
        <v>126</v>
      </c>
      <c r="I13" s="4" t="s">
        <v>130</v>
      </c>
      <c r="J13" s="4" t="s">
        <v>128</v>
      </c>
      <c r="K13" s="4" t="s">
        <v>5</v>
      </c>
    </row>
    <row r="14" spans="1:11">
      <c r="A14" s="4" t="s">
        <v>81</v>
      </c>
      <c r="B14" s="4" t="s">
        <v>94</v>
      </c>
      <c r="C14" s="4" t="s">
        <v>95</v>
      </c>
      <c r="D14" s="4" t="s">
        <v>66</v>
      </c>
      <c r="E14" s="5">
        <v>4.4999999999999997E-3</v>
      </c>
      <c r="F14" s="4" t="s">
        <v>76</v>
      </c>
      <c r="G14" s="4" t="s">
        <v>125</v>
      </c>
      <c r="H14" s="4" t="s">
        <v>126</v>
      </c>
      <c r="I14" s="4" t="s">
        <v>131</v>
      </c>
      <c r="J14" s="4" t="s">
        <v>128</v>
      </c>
      <c r="K14" s="4" t="s">
        <v>5</v>
      </c>
    </row>
    <row r="15" spans="1:11">
      <c r="A15" s="4" t="s">
        <v>81</v>
      </c>
      <c r="B15" s="4" t="s">
        <v>97</v>
      </c>
      <c r="C15" s="4" t="s">
        <v>98</v>
      </c>
      <c r="D15" s="4" t="s">
        <v>66</v>
      </c>
      <c r="E15" s="5">
        <v>3.3</v>
      </c>
      <c r="F15" s="4" t="s">
        <v>99</v>
      </c>
      <c r="G15" s="4" t="s">
        <v>125</v>
      </c>
      <c r="H15" s="4" t="s">
        <v>126</v>
      </c>
      <c r="I15" s="4" t="s">
        <v>132</v>
      </c>
      <c r="J15" s="4" t="s">
        <v>128</v>
      </c>
      <c r="K15" s="4" t="s">
        <v>5</v>
      </c>
    </row>
    <row r="16" spans="1:11">
      <c r="A16" s="4" t="s">
        <v>81</v>
      </c>
      <c r="B16" s="4" t="s">
        <v>101</v>
      </c>
      <c r="C16" s="4" t="s">
        <v>102</v>
      </c>
      <c r="D16" s="4" t="s">
        <v>66</v>
      </c>
      <c r="E16" s="5">
        <v>3.4</v>
      </c>
      <c r="F16" s="4" t="s">
        <v>99</v>
      </c>
      <c r="G16" s="4" t="s">
        <v>125</v>
      </c>
      <c r="H16" s="4" t="s">
        <v>126</v>
      </c>
      <c r="I16" s="4" t="s">
        <v>132</v>
      </c>
      <c r="J16" s="4" t="s">
        <v>128</v>
      </c>
      <c r="K16" s="4" t="s">
        <v>5</v>
      </c>
    </row>
    <row r="17" spans="1:11">
      <c r="A17" s="4" t="s">
        <v>81</v>
      </c>
      <c r="B17" s="4" t="s">
        <v>103</v>
      </c>
      <c r="C17" s="4" t="s">
        <v>104</v>
      </c>
      <c r="D17" s="4" t="s">
        <v>66</v>
      </c>
      <c r="E17" s="5">
        <v>132</v>
      </c>
      <c r="F17" s="4" t="s">
        <v>99</v>
      </c>
      <c r="G17" s="4" t="s">
        <v>125</v>
      </c>
      <c r="H17" s="4" t="s">
        <v>126</v>
      </c>
      <c r="I17" s="4" t="s">
        <v>133</v>
      </c>
      <c r="J17" s="4" t="s">
        <v>128</v>
      </c>
      <c r="K17" s="4" t="s">
        <v>5</v>
      </c>
    </row>
    <row r="18" spans="1:11">
      <c r="A18" s="4" t="s">
        <v>63</v>
      </c>
      <c r="B18" s="4" t="s">
        <v>64</v>
      </c>
      <c r="C18" s="4" t="s">
        <v>65</v>
      </c>
      <c r="D18" s="4" t="s">
        <v>105</v>
      </c>
      <c r="E18" s="5">
        <v>70</v>
      </c>
      <c r="F18" s="4" t="s">
        <v>67</v>
      </c>
      <c r="G18" s="4" t="s">
        <v>116</v>
      </c>
      <c r="H18" s="4" t="s">
        <v>117</v>
      </c>
      <c r="I18" s="4" t="s">
        <v>80</v>
      </c>
      <c r="J18" s="4" t="s">
        <v>69</v>
      </c>
      <c r="K18" s="4" t="s">
        <v>5</v>
      </c>
    </row>
    <row r="19" spans="1:11">
      <c r="A19" s="4" t="s">
        <v>63</v>
      </c>
      <c r="B19" s="4" t="s">
        <v>70</v>
      </c>
      <c r="C19" s="4" t="s">
        <v>71</v>
      </c>
      <c r="D19" s="4" t="s">
        <v>105</v>
      </c>
      <c r="E19" s="5">
        <v>12.5</v>
      </c>
      <c r="F19" s="4" t="s">
        <v>72</v>
      </c>
      <c r="G19" s="4" t="s">
        <v>116</v>
      </c>
      <c r="H19" s="4" t="s">
        <v>117</v>
      </c>
      <c r="I19" s="4" t="s">
        <v>80</v>
      </c>
      <c r="J19" s="4" t="s">
        <v>69</v>
      </c>
      <c r="K19" s="4" t="s">
        <v>5</v>
      </c>
    </row>
    <row r="20" spans="1:11">
      <c r="A20" s="4" t="s">
        <v>81</v>
      </c>
      <c r="B20" s="4" t="s">
        <v>82</v>
      </c>
      <c r="C20" s="4" t="s">
        <v>83</v>
      </c>
      <c r="D20" s="4" t="s">
        <v>105</v>
      </c>
      <c r="E20" s="5">
        <v>0.9</v>
      </c>
      <c r="F20" s="4" t="s">
        <v>76</v>
      </c>
      <c r="G20" s="4" t="s">
        <v>116</v>
      </c>
      <c r="H20" s="4" t="s">
        <v>117</v>
      </c>
      <c r="I20" s="4" t="s">
        <v>118</v>
      </c>
      <c r="J20" s="4" t="s">
        <v>69</v>
      </c>
      <c r="K20" s="4" t="s">
        <v>5</v>
      </c>
    </row>
    <row r="21" spans="1:11">
      <c r="A21" s="4" t="s">
        <v>81</v>
      </c>
      <c r="B21" s="4" t="s">
        <v>88</v>
      </c>
      <c r="C21" s="4" t="s">
        <v>89</v>
      </c>
      <c r="D21" s="4" t="s">
        <v>105</v>
      </c>
      <c r="E21" s="5">
        <v>0.54</v>
      </c>
      <c r="F21" s="4" t="s">
        <v>90</v>
      </c>
      <c r="G21" s="4" t="s">
        <v>116</v>
      </c>
      <c r="H21" s="4" t="s">
        <v>117</v>
      </c>
      <c r="I21" s="4" t="s">
        <v>119</v>
      </c>
      <c r="J21" s="4" t="s">
        <v>69</v>
      </c>
      <c r="K21" s="4" t="s">
        <v>5</v>
      </c>
    </row>
    <row r="22" spans="1:11">
      <c r="A22" s="4" t="s">
        <v>81</v>
      </c>
      <c r="B22" s="4" t="s">
        <v>91</v>
      </c>
      <c r="C22" s="4" t="s">
        <v>92</v>
      </c>
      <c r="D22" s="4" t="s">
        <v>105</v>
      </c>
      <c r="E22" s="5">
        <v>8.0000000000000002E-3</v>
      </c>
      <c r="F22" s="4" t="s">
        <v>93</v>
      </c>
      <c r="G22" s="4" t="s">
        <v>116</v>
      </c>
      <c r="H22" s="4" t="s">
        <v>117</v>
      </c>
      <c r="I22" s="4" t="s">
        <v>120</v>
      </c>
      <c r="J22" s="4" t="s">
        <v>69</v>
      </c>
      <c r="K22" s="4" t="s">
        <v>5</v>
      </c>
    </row>
    <row r="23" spans="1:11">
      <c r="A23" s="4" t="s">
        <v>81</v>
      </c>
      <c r="B23" s="4" t="s">
        <v>121</v>
      </c>
      <c r="C23" s="4" t="s">
        <v>122</v>
      </c>
      <c r="D23" s="4" t="s">
        <v>105</v>
      </c>
      <c r="E23" s="5">
        <v>2.7</v>
      </c>
      <c r="F23" s="4" t="s">
        <v>123</v>
      </c>
      <c r="G23" s="4" t="s">
        <v>116</v>
      </c>
      <c r="H23" s="4" t="s">
        <v>117</v>
      </c>
      <c r="I23" s="4" t="s">
        <v>124</v>
      </c>
      <c r="J23" s="4" t="s">
        <v>69</v>
      </c>
      <c r="K23" s="4" t="s">
        <v>5</v>
      </c>
    </row>
    <row r="24" spans="1:11">
      <c r="A24" s="4" t="s">
        <v>63</v>
      </c>
      <c r="B24" s="4" t="s">
        <v>74</v>
      </c>
      <c r="C24" s="4" t="s">
        <v>75</v>
      </c>
      <c r="D24" s="4" t="s">
        <v>105</v>
      </c>
      <c r="E24" s="5">
        <v>0.15</v>
      </c>
      <c r="F24" s="4" t="s">
        <v>76</v>
      </c>
      <c r="G24" s="4" t="s">
        <v>125</v>
      </c>
      <c r="H24" s="4" t="s">
        <v>126</v>
      </c>
      <c r="I24" s="4" t="s">
        <v>127</v>
      </c>
      <c r="J24" s="4" t="s">
        <v>128</v>
      </c>
      <c r="K24" s="4" t="s">
        <v>5</v>
      </c>
    </row>
    <row r="25" spans="1:11">
      <c r="A25" s="4" t="s">
        <v>63</v>
      </c>
      <c r="B25" s="4" t="s">
        <v>77</v>
      </c>
      <c r="C25" s="4" t="s">
        <v>78</v>
      </c>
      <c r="D25" s="4" t="s">
        <v>105</v>
      </c>
      <c r="E25" s="5">
        <v>4.0000000000000002E-4</v>
      </c>
      <c r="F25" s="4" t="s">
        <v>79</v>
      </c>
      <c r="G25" s="4" t="s">
        <v>125</v>
      </c>
      <c r="H25" s="4" t="s">
        <v>126</v>
      </c>
      <c r="I25" s="4" t="s">
        <v>129</v>
      </c>
      <c r="J25" s="4" t="s">
        <v>128</v>
      </c>
      <c r="K25" s="4" t="s">
        <v>5</v>
      </c>
    </row>
    <row r="26" spans="1:11">
      <c r="A26" s="4" t="s">
        <v>81</v>
      </c>
      <c r="B26" s="4" t="s">
        <v>85</v>
      </c>
      <c r="C26" s="4" t="s">
        <v>86</v>
      </c>
      <c r="D26" s="4" t="s">
        <v>105</v>
      </c>
      <c r="E26" s="5">
        <v>0.23</v>
      </c>
      <c r="F26" s="4" t="s">
        <v>79</v>
      </c>
      <c r="G26" s="4" t="s">
        <v>125</v>
      </c>
      <c r="H26" s="4" t="s">
        <v>126</v>
      </c>
      <c r="I26" s="4" t="s">
        <v>130</v>
      </c>
      <c r="J26" s="4" t="s">
        <v>128</v>
      </c>
      <c r="K26" s="4" t="s">
        <v>5</v>
      </c>
    </row>
    <row r="27" spans="1:11">
      <c r="A27" s="4" t="s">
        <v>81</v>
      </c>
      <c r="B27" s="4" t="s">
        <v>94</v>
      </c>
      <c r="C27" s="4" t="s">
        <v>95</v>
      </c>
      <c r="D27" s="4" t="s">
        <v>105</v>
      </c>
      <c r="E27" s="5">
        <v>1.1999999999999999E-3</v>
      </c>
      <c r="F27" s="4" t="s">
        <v>76</v>
      </c>
      <c r="G27" s="4" t="s">
        <v>125</v>
      </c>
      <c r="H27" s="4" t="s">
        <v>126</v>
      </c>
      <c r="I27" s="4" t="s">
        <v>131</v>
      </c>
      <c r="J27" s="4" t="s">
        <v>128</v>
      </c>
      <c r="K27" s="4" t="s">
        <v>5</v>
      </c>
    </row>
    <row r="28" spans="1:11">
      <c r="A28" s="4" t="s">
        <v>81</v>
      </c>
      <c r="B28" s="4" t="s">
        <v>97</v>
      </c>
      <c r="C28" s="4" t="s">
        <v>98</v>
      </c>
      <c r="D28" s="4" t="s">
        <v>105</v>
      </c>
      <c r="E28" s="5">
        <v>3.3</v>
      </c>
      <c r="F28" s="4" t="s">
        <v>99</v>
      </c>
      <c r="G28" s="4" t="s">
        <v>125</v>
      </c>
      <c r="H28" s="4" t="s">
        <v>126</v>
      </c>
      <c r="I28" s="4" t="s">
        <v>132</v>
      </c>
      <c r="J28" s="4" t="s">
        <v>128</v>
      </c>
      <c r="K28" s="4" t="s">
        <v>5</v>
      </c>
    </row>
    <row r="29" spans="1:11">
      <c r="A29" s="4" t="s">
        <v>81</v>
      </c>
      <c r="B29" s="4" t="s">
        <v>101</v>
      </c>
      <c r="C29" s="4" t="s">
        <v>102</v>
      </c>
      <c r="D29" s="4" t="s">
        <v>105</v>
      </c>
      <c r="E29" s="5">
        <v>3.4</v>
      </c>
      <c r="F29" s="4" t="s">
        <v>99</v>
      </c>
      <c r="G29" s="4" t="s">
        <v>125</v>
      </c>
      <c r="H29" s="4" t="s">
        <v>126</v>
      </c>
      <c r="I29" s="4" t="s">
        <v>132</v>
      </c>
      <c r="J29" s="4" t="s">
        <v>128</v>
      </c>
      <c r="K29" s="4" t="s">
        <v>5</v>
      </c>
    </row>
    <row r="30" spans="1:11">
      <c r="A30" s="4" t="s">
        <v>81</v>
      </c>
      <c r="B30" s="4" t="s">
        <v>103</v>
      </c>
      <c r="C30" s="4" t="s">
        <v>104</v>
      </c>
      <c r="D30" s="4" t="s">
        <v>105</v>
      </c>
      <c r="E30" s="5">
        <v>230</v>
      </c>
      <c r="F30" s="4" t="s">
        <v>99</v>
      </c>
      <c r="G30" s="4" t="s">
        <v>125</v>
      </c>
      <c r="H30" s="4" t="s">
        <v>126</v>
      </c>
      <c r="I30" s="4" t="s">
        <v>133</v>
      </c>
      <c r="J30" s="4" t="s">
        <v>128</v>
      </c>
      <c r="K30" s="4" t="s">
        <v>5</v>
      </c>
    </row>
    <row r="31" spans="1:11">
      <c r="A31" s="4" t="s">
        <v>63</v>
      </c>
      <c r="B31" s="4" t="s">
        <v>64</v>
      </c>
      <c r="C31" s="4" t="s">
        <v>65</v>
      </c>
      <c r="D31" s="4" t="s">
        <v>106</v>
      </c>
      <c r="E31" s="5">
        <v>70</v>
      </c>
      <c r="F31" s="4" t="s">
        <v>67</v>
      </c>
      <c r="G31" s="4" t="s">
        <v>116</v>
      </c>
      <c r="H31" s="4" t="s">
        <v>117</v>
      </c>
      <c r="I31" s="4" t="s">
        <v>80</v>
      </c>
      <c r="J31" s="4" t="s">
        <v>108</v>
      </c>
      <c r="K31" s="4" t="s">
        <v>5</v>
      </c>
    </row>
    <row r="32" spans="1:11">
      <c r="A32" s="4" t="s">
        <v>63</v>
      </c>
      <c r="B32" s="4" t="s">
        <v>70</v>
      </c>
      <c r="C32" s="4" t="s">
        <v>71</v>
      </c>
      <c r="D32" s="4" t="s">
        <v>106</v>
      </c>
      <c r="E32" s="5">
        <v>12.5</v>
      </c>
      <c r="F32" s="4" t="s">
        <v>72</v>
      </c>
      <c r="G32" s="4" t="s">
        <v>116</v>
      </c>
      <c r="H32" s="4" t="s">
        <v>117</v>
      </c>
      <c r="I32" s="4" t="s">
        <v>80</v>
      </c>
      <c r="J32" s="4" t="s">
        <v>108</v>
      </c>
      <c r="K32" s="4" t="s">
        <v>5</v>
      </c>
    </row>
    <row r="33" spans="1:11">
      <c r="A33" s="4" t="s">
        <v>81</v>
      </c>
      <c r="B33" s="4" t="s">
        <v>82</v>
      </c>
      <c r="C33" s="4" t="s">
        <v>83</v>
      </c>
      <c r="D33" s="4" t="s">
        <v>106</v>
      </c>
      <c r="E33" s="5">
        <v>0.9</v>
      </c>
      <c r="F33" s="4" t="s">
        <v>76</v>
      </c>
      <c r="G33" s="4" t="s">
        <v>116</v>
      </c>
      <c r="H33" s="4" t="s">
        <v>117</v>
      </c>
      <c r="I33" s="4" t="s">
        <v>118</v>
      </c>
      <c r="J33" s="4" t="s">
        <v>108</v>
      </c>
      <c r="K33" s="4" t="s">
        <v>5</v>
      </c>
    </row>
    <row r="34" spans="1:11">
      <c r="A34" s="4" t="s">
        <v>81</v>
      </c>
      <c r="B34" s="4" t="s">
        <v>88</v>
      </c>
      <c r="C34" s="4" t="s">
        <v>89</v>
      </c>
      <c r="D34" s="4" t="s">
        <v>106</v>
      </c>
      <c r="E34" s="5">
        <v>0.47</v>
      </c>
      <c r="F34" s="4" t="s">
        <v>90</v>
      </c>
      <c r="G34" s="4" t="s">
        <v>116</v>
      </c>
      <c r="H34" s="4" t="s">
        <v>117</v>
      </c>
      <c r="I34" s="4" t="s">
        <v>119</v>
      </c>
      <c r="J34" s="4" t="s">
        <v>108</v>
      </c>
      <c r="K34" s="4" t="s">
        <v>5</v>
      </c>
    </row>
    <row r="35" spans="1:11">
      <c r="A35" s="4" t="s">
        <v>81</v>
      </c>
      <c r="B35" s="4" t="s">
        <v>91</v>
      </c>
      <c r="C35" s="4" t="s">
        <v>92</v>
      </c>
      <c r="D35" s="4" t="s">
        <v>106</v>
      </c>
      <c r="E35" s="5">
        <v>4.0000000000000001E-3</v>
      </c>
      <c r="F35" s="4" t="s">
        <v>93</v>
      </c>
      <c r="G35" s="4" t="s">
        <v>116</v>
      </c>
      <c r="H35" s="4" t="s">
        <v>117</v>
      </c>
      <c r="I35" s="4" t="s">
        <v>120</v>
      </c>
      <c r="J35" s="4" t="s">
        <v>108</v>
      </c>
      <c r="K35" s="4" t="s">
        <v>5</v>
      </c>
    </row>
    <row r="36" spans="1:11">
      <c r="A36" s="4" t="s">
        <v>81</v>
      </c>
      <c r="B36" s="4" t="s">
        <v>121</v>
      </c>
      <c r="C36" s="4" t="s">
        <v>122</v>
      </c>
      <c r="D36" s="4" t="s">
        <v>106</v>
      </c>
      <c r="E36" s="5">
        <v>5.3</v>
      </c>
      <c r="F36" s="4" t="s">
        <v>123</v>
      </c>
      <c r="G36" s="4" t="s">
        <v>116</v>
      </c>
      <c r="H36" s="4" t="s">
        <v>117</v>
      </c>
      <c r="I36" s="4" t="s">
        <v>124</v>
      </c>
      <c r="J36" s="4" t="s">
        <v>108</v>
      </c>
      <c r="K36" s="4" t="s">
        <v>5</v>
      </c>
    </row>
    <row r="37" spans="1:11">
      <c r="A37" s="4" t="s">
        <v>63</v>
      </c>
      <c r="B37" s="4" t="s">
        <v>74</v>
      </c>
      <c r="C37" s="4" t="s">
        <v>75</v>
      </c>
      <c r="D37" s="4" t="s">
        <v>106</v>
      </c>
      <c r="E37" s="5">
        <v>0.15</v>
      </c>
      <c r="F37" s="4" t="s">
        <v>76</v>
      </c>
      <c r="G37" s="4" t="s">
        <v>125</v>
      </c>
      <c r="H37" s="4" t="s">
        <v>126</v>
      </c>
      <c r="I37" s="4" t="s">
        <v>127</v>
      </c>
      <c r="J37" s="4" t="s">
        <v>128</v>
      </c>
      <c r="K37" s="4" t="s">
        <v>5</v>
      </c>
    </row>
    <row r="38" spans="1:11">
      <c r="A38" s="4" t="s">
        <v>63</v>
      </c>
      <c r="B38" s="4" t="s">
        <v>77</v>
      </c>
      <c r="C38" s="4" t="s">
        <v>78</v>
      </c>
      <c r="D38" s="4" t="s">
        <v>106</v>
      </c>
      <c r="E38" s="5">
        <v>4.0000000000000002E-4</v>
      </c>
      <c r="F38" s="4" t="s">
        <v>79</v>
      </c>
      <c r="G38" s="4" t="s">
        <v>125</v>
      </c>
      <c r="H38" s="4" t="s">
        <v>126</v>
      </c>
      <c r="I38" s="4" t="s">
        <v>129</v>
      </c>
      <c r="J38" s="4" t="s">
        <v>128</v>
      </c>
      <c r="K38" s="4" t="s">
        <v>5</v>
      </c>
    </row>
    <row r="39" spans="1:11">
      <c r="A39" s="4" t="s">
        <v>81</v>
      </c>
      <c r="B39" s="4" t="s">
        <v>85</v>
      </c>
      <c r="C39" s="4" t="s">
        <v>86</v>
      </c>
      <c r="D39" s="4" t="s">
        <v>106</v>
      </c>
      <c r="E39" s="5">
        <v>0.17</v>
      </c>
      <c r="F39" s="4" t="s">
        <v>79</v>
      </c>
      <c r="G39" s="4" t="s">
        <v>125</v>
      </c>
      <c r="H39" s="4" t="s">
        <v>126</v>
      </c>
      <c r="I39" s="4" t="s">
        <v>130</v>
      </c>
      <c r="J39" s="4" t="s">
        <v>128</v>
      </c>
      <c r="K39" s="4" t="s">
        <v>5</v>
      </c>
    </row>
    <row r="40" spans="1:11">
      <c r="A40" s="4" t="s">
        <v>81</v>
      </c>
      <c r="B40" s="4" t="s">
        <v>94</v>
      </c>
      <c r="C40" s="4" t="s">
        <v>95</v>
      </c>
      <c r="D40" s="4" t="s">
        <v>106</v>
      </c>
      <c r="E40" s="5">
        <v>8.9999999999999998E-4</v>
      </c>
      <c r="F40" s="4" t="s">
        <v>76</v>
      </c>
      <c r="G40" s="4" t="s">
        <v>125</v>
      </c>
      <c r="H40" s="4" t="s">
        <v>126</v>
      </c>
      <c r="I40" s="4" t="s">
        <v>131</v>
      </c>
      <c r="J40" s="4" t="s">
        <v>128</v>
      </c>
      <c r="K40" s="4" t="s">
        <v>5</v>
      </c>
    </row>
    <row r="41" spans="1:11">
      <c r="A41" s="4" t="s">
        <v>81</v>
      </c>
      <c r="B41" s="4" t="s">
        <v>97</v>
      </c>
      <c r="C41" s="4" t="s">
        <v>98</v>
      </c>
      <c r="D41" s="4" t="s">
        <v>106</v>
      </c>
      <c r="E41" s="5">
        <v>3.3</v>
      </c>
      <c r="F41" s="4" t="s">
        <v>99</v>
      </c>
      <c r="G41" s="4" t="s">
        <v>125</v>
      </c>
      <c r="H41" s="4" t="s">
        <v>126</v>
      </c>
      <c r="I41" s="4" t="s">
        <v>132</v>
      </c>
      <c r="J41" s="4" t="s">
        <v>128</v>
      </c>
      <c r="K41" s="4" t="s">
        <v>5</v>
      </c>
    </row>
    <row r="42" spans="1:11">
      <c r="A42" s="4" t="s">
        <v>81</v>
      </c>
      <c r="B42" s="4" t="s">
        <v>101</v>
      </c>
      <c r="C42" s="4" t="s">
        <v>102</v>
      </c>
      <c r="D42" s="4" t="s">
        <v>106</v>
      </c>
      <c r="E42" s="5">
        <v>3.4</v>
      </c>
      <c r="F42" s="4" t="s">
        <v>99</v>
      </c>
      <c r="G42" s="4" t="s">
        <v>125</v>
      </c>
      <c r="H42" s="4" t="s">
        <v>126</v>
      </c>
      <c r="I42" s="4" t="s">
        <v>132</v>
      </c>
      <c r="J42" s="4" t="s">
        <v>128</v>
      </c>
      <c r="K42" s="4" t="s">
        <v>5</v>
      </c>
    </row>
    <row r="43" spans="1:11">
      <c r="A43" s="4" t="s">
        <v>81</v>
      </c>
      <c r="B43" s="4" t="s">
        <v>103</v>
      </c>
      <c r="C43" s="4" t="s">
        <v>104</v>
      </c>
      <c r="D43" s="4" t="s">
        <v>106</v>
      </c>
      <c r="E43" s="5">
        <v>132</v>
      </c>
      <c r="F43" s="4" t="s">
        <v>99</v>
      </c>
      <c r="G43" s="4" t="s">
        <v>125</v>
      </c>
      <c r="H43" s="4" t="s">
        <v>126</v>
      </c>
      <c r="I43" s="4" t="s">
        <v>134</v>
      </c>
      <c r="J43" s="4" t="s">
        <v>128</v>
      </c>
      <c r="K43" s="4" t="s">
        <v>5</v>
      </c>
    </row>
  </sheetData>
  <mergeCells count="2">
    <mergeCell ref="A1:K1"/>
    <mergeCell ref="A2:K2"/>
  </mergeCells>
  <conditionalFormatting sqref="G5:G43">
    <cfRule type="expression" dxfId="0" priority="1">
      <formula>G5="Inherited into human model"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Normal="100" zoomScaleSheetLayoutView="100" workbookViewId="0"/>
  </sheetViews>
  <sheetFormatPr defaultRowHeight="15"/>
  <cols>
    <col min="1" max="1" width="12" customWidth="1"/>
    <col min="2" max="2" width="40" customWidth="1"/>
    <col min="3" max="3" width="14" customWidth="1"/>
    <col min="4" max="6" width="18" customWidth="1"/>
    <col min="7" max="7" width="82" customWidth="1"/>
  </cols>
  <sheetData>
    <row r="1" spans="1:7" ht="27.95" customHeight="1">
      <c r="A1" s="6" t="s">
        <v>135</v>
      </c>
      <c r="B1" s="6"/>
      <c r="C1" s="6"/>
      <c r="D1" s="6"/>
      <c r="E1" s="6"/>
      <c r="F1" s="6"/>
      <c r="G1" s="6"/>
    </row>
    <row r="2" spans="1:7" ht="32.1" customHeight="1">
      <c r="A2" s="7" t="s">
        <v>136</v>
      </c>
      <c r="B2" s="7"/>
      <c r="C2" s="7"/>
      <c r="D2" s="7"/>
      <c r="E2" s="7"/>
      <c r="F2" s="7"/>
      <c r="G2" s="7"/>
    </row>
    <row r="4" spans="1:7">
      <c r="A4" s="3" t="s">
        <v>56</v>
      </c>
      <c r="B4" s="3" t="s">
        <v>137</v>
      </c>
      <c r="C4" s="3" t="s">
        <v>55</v>
      </c>
      <c r="D4" s="3" t="s">
        <v>138</v>
      </c>
      <c r="E4" s="3" t="s">
        <v>139</v>
      </c>
      <c r="F4" s="3" t="s">
        <v>60</v>
      </c>
      <c r="G4" s="3" t="s">
        <v>140</v>
      </c>
    </row>
    <row r="5" spans="1:7">
      <c r="A5" s="4" t="s">
        <v>66</v>
      </c>
      <c r="B5" s="4" t="s">
        <v>141</v>
      </c>
      <c r="C5" s="4" t="s">
        <v>71</v>
      </c>
      <c r="D5" s="5">
        <v>19.8</v>
      </c>
      <c r="E5" s="5">
        <v>12.5</v>
      </c>
      <c r="F5" s="4" t="s">
        <v>72</v>
      </c>
      <c r="G5" s="4" t="s">
        <v>142</v>
      </c>
    </row>
    <row r="6" spans="1:7">
      <c r="A6" s="4" t="s">
        <v>105</v>
      </c>
      <c r="B6" s="4" t="s">
        <v>141</v>
      </c>
      <c r="C6" s="4" t="s">
        <v>71</v>
      </c>
      <c r="D6" s="5">
        <v>19.8</v>
      </c>
      <c r="E6" s="5">
        <v>12.5</v>
      </c>
      <c r="F6" s="4" t="s">
        <v>72</v>
      </c>
      <c r="G6" s="4" t="s">
        <v>142</v>
      </c>
    </row>
    <row r="7" spans="1:7">
      <c r="A7" s="4" t="s">
        <v>106</v>
      </c>
      <c r="B7" s="4" t="s">
        <v>141</v>
      </c>
      <c r="C7" s="4" t="s">
        <v>71</v>
      </c>
      <c r="D7" s="5">
        <v>19.8</v>
      </c>
      <c r="E7" s="5">
        <v>12.5</v>
      </c>
      <c r="F7" s="4" t="s">
        <v>72</v>
      </c>
      <c r="G7" s="4" t="s">
        <v>142</v>
      </c>
    </row>
    <row r="8" spans="1:7">
      <c r="A8" s="4" t="s">
        <v>66</v>
      </c>
      <c r="B8" s="4" t="s">
        <v>143</v>
      </c>
      <c r="C8" s="4" t="s">
        <v>122</v>
      </c>
      <c r="D8" s="5"/>
      <c r="E8" s="5">
        <v>3.4</v>
      </c>
      <c r="F8" s="4" t="s">
        <v>123</v>
      </c>
      <c r="G8" s="4" t="s">
        <v>144</v>
      </c>
    </row>
    <row r="9" spans="1:7">
      <c r="A9" s="4" t="s">
        <v>105</v>
      </c>
      <c r="B9" s="4" t="s">
        <v>143</v>
      </c>
      <c r="C9" s="4" t="s">
        <v>122</v>
      </c>
      <c r="D9" s="5"/>
      <c r="E9" s="5">
        <v>2.7</v>
      </c>
      <c r="F9" s="4" t="s">
        <v>123</v>
      </c>
      <c r="G9" s="4" t="s">
        <v>144</v>
      </c>
    </row>
    <row r="10" spans="1:7">
      <c r="A10" s="4" t="s">
        <v>106</v>
      </c>
      <c r="B10" s="4" t="s">
        <v>143</v>
      </c>
      <c r="C10" s="4" t="s">
        <v>122</v>
      </c>
      <c r="D10" s="5"/>
      <c r="E10" s="5">
        <v>5.3</v>
      </c>
      <c r="F10" s="4" t="s">
        <v>123</v>
      </c>
      <c r="G10" s="4" t="s">
        <v>144</v>
      </c>
    </row>
    <row r="11" spans="1:7">
      <c r="A11" s="4" t="s">
        <v>66</v>
      </c>
      <c r="B11" s="4" t="s">
        <v>145</v>
      </c>
      <c r="C11" s="4" t="s">
        <v>89</v>
      </c>
      <c r="D11" s="5">
        <v>2.5</v>
      </c>
      <c r="E11" s="5">
        <v>1.07</v>
      </c>
      <c r="F11" s="4" t="s">
        <v>90</v>
      </c>
      <c r="G11" s="4" t="s">
        <v>146</v>
      </c>
    </row>
    <row r="12" spans="1:7">
      <c r="A12" s="4" t="s">
        <v>105</v>
      </c>
      <c r="B12" s="4" t="s">
        <v>145</v>
      </c>
      <c r="C12" s="4" t="s">
        <v>89</v>
      </c>
      <c r="D12" s="5">
        <v>0.28000000000000003</v>
      </c>
      <c r="E12" s="5">
        <v>0.54</v>
      </c>
      <c r="F12" s="4" t="s">
        <v>90</v>
      </c>
      <c r="G12" s="4" t="s">
        <v>147</v>
      </c>
    </row>
    <row r="13" spans="1:7">
      <c r="A13" s="4" t="s">
        <v>106</v>
      </c>
      <c r="B13" s="4" t="s">
        <v>145</v>
      </c>
      <c r="C13" s="4" t="s">
        <v>89</v>
      </c>
      <c r="D13" s="5">
        <v>0.21</v>
      </c>
      <c r="E13" s="5">
        <v>0.47</v>
      </c>
      <c r="F13" s="4" t="s">
        <v>90</v>
      </c>
      <c r="G13" s="4" t="s">
        <v>146</v>
      </c>
    </row>
    <row r="14" spans="1:7">
      <c r="A14" s="4" t="s">
        <v>105</v>
      </c>
      <c r="B14" s="4" t="s">
        <v>148</v>
      </c>
      <c r="C14" s="4" t="s">
        <v>83</v>
      </c>
      <c r="D14" s="5">
        <v>0.32</v>
      </c>
      <c r="E14" s="5">
        <v>0.9</v>
      </c>
      <c r="F14" s="4" t="s">
        <v>76</v>
      </c>
      <c r="G14" s="4" t="s">
        <v>149</v>
      </c>
    </row>
    <row r="15" spans="1:7">
      <c r="A15" s="4" t="s">
        <v>105</v>
      </c>
      <c r="B15" s="4" t="s">
        <v>150</v>
      </c>
      <c r="C15" s="4" t="s">
        <v>92</v>
      </c>
      <c r="D15" s="5">
        <v>1.7000000000000001E-2</v>
      </c>
      <c r="E15" s="5">
        <v>8.0000000000000002E-3</v>
      </c>
      <c r="F15" s="4" t="s">
        <v>93</v>
      </c>
      <c r="G15" s="4" t="s">
        <v>151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zoomScaleNormal="100" zoomScaleSheetLayoutView="100" workbookViewId="0"/>
  </sheetViews>
  <sheetFormatPr defaultRowHeight="15"/>
  <cols>
    <col min="1" max="1" width="30" customWidth="1"/>
    <col min="2" max="2" width="100" customWidth="1"/>
    <col min="3" max="3" width="42" customWidth="1"/>
    <col min="4" max="4" width="58" customWidth="1"/>
  </cols>
  <sheetData>
    <row r="1" spans="1:4" ht="27.95" customHeight="1">
      <c r="A1" s="6" t="s">
        <v>152</v>
      </c>
      <c r="B1" s="6"/>
      <c r="C1" s="6"/>
      <c r="D1" s="6"/>
    </row>
    <row r="3" spans="1:4">
      <c r="A3" s="3" t="s">
        <v>153</v>
      </c>
      <c r="B3" s="3" t="s">
        <v>154</v>
      </c>
      <c r="C3" s="3" t="s">
        <v>155</v>
      </c>
      <c r="D3" s="3" t="s">
        <v>156</v>
      </c>
    </row>
    <row r="4" spans="1:4">
      <c r="A4" s="4" t="s">
        <v>157</v>
      </c>
      <c r="B4" s="4" t="s">
        <v>158</v>
      </c>
      <c r="C4" s="4" t="s">
        <v>5</v>
      </c>
      <c r="D4" s="4" t="s">
        <v>159</v>
      </c>
    </row>
    <row r="5" spans="1:4">
      <c r="A5" s="4" t="s">
        <v>160</v>
      </c>
      <c r="B5" s="4" t="s">
        <v>161</v>
      </c>
      <c r="C5" s="4" t="s">
        <v>5</v>
      </c>
      <c r="D5" s="4" t="s">
        <v>159</v>
      </c>
    </row>
    <row r="6" spans="1:4">
      <c r="A6" s="4" t="s">
        <v>162</v>
      </c>
      <c r="B6" s="4" t="s">
        <v>163</v>
      </c>
      <c r="C6" s="4" t="s">
        <v>5</v>
      </c>
      <c r="D6" s="4" t="s">
        <v>159</v>
      </c>
    </row>
    <row r="7" spans="1:4">
      <c r="A7" s="4" t="s">
        <v>164</v>
      </c>
      <c r="B7" s="4" t="s">
        <v>165</v>
      </c>
      <c r="C7" s="4" t="s">
        <v>5</v>
      </c>
      <c r="D7" s="4" t="s">
        <v>159</v>
      </c>
    </row>
    <row r="8" spans="1:4">
      <c r="A8" s="4" t="s">
        <v>166</v>
      </c>
      <c r="B8" s="4" t="s">
        <v>167</v>
      </c>
      <c r="C8" s="4" t="s">
        <v>5</v>
      </c>
      <c r="D8" s="4" t="s">
        <v>159</v>
      </c>
    </row>
    <row r="9" spans="1:4">
      <c r="A9" s="4" t="s">
        <v>168</v>
      </c>
      <c r="B9" s="4" t="s">
        <v>169</v>
      </c>
      <c r="C9" s="4" t="s">
        <v>5</v>
      </c>
      <c r="D9" s="4" t="s">
        <v>159</v>
      </c>
    </row>
    <row r="10" spans="1:4">
      <c r="A10" s="4" t="s">
        <v>170</v>
      </c>
      <c r="B10" s="4" t="s">
        <v>171</v>
      </c>
      <c r="C10" s="4" t="s">
        <v>5</v>
      </c>
      <c r="D10" s="4" t="s">
        <v>159</v>
      </c>
    </row>
    <row r="11" spans="1:4">
      <c r="A11" s="4" t="s">
        <v>172</v>
      </c>
      <c r="B11" s="4" t="s">
        <v>173</v>
      </c>
      <c r="C11" s="4" t="s">
        <v>5</v>
      </c>
      <c r="D11" s="4" t="s">
        <v>159</v>
      </c>
    </row>
    <row r="12" spans="1:4">
      <c r="A12" s="4" t="s">
        <v>174</v>
      </c>
      <c r="B12" s="4" t="s">
        <v>175</v>
      </c>
      <c r="C12" s="4" t="s">
        <v>5</v>
      </c>
      <c r="D12" s="4" t="s">
        <v>159</v>
      </c>
    </row>
    <row r="13" spans="1:4">
      <c r="A13" s="4" t="s">
        <v>176</v>
      </c>
      <c r="B13" s="4" t="s">
        <v>177</v>
      </c>
      <c r="C13" s="4" t="s">
        <v>5</v>
      </c>
      <c r="D13" s="4" t="s">
        <v>159</v>
      </c>
    </row>
    <row r="14" spans="1:4">
      <c r="A14" s="4" t="s">
        <v>178</v>
      </c>
      <c r="B14" s="4" t="s">
        <v>179</v>
      </c>
      <c r="C14" s="4" t="s">
        <v>5</v>
      </c>
      <c r="D14" s="4" t="s">
        <v>159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zoomScaleNormal="100" zoomScaleSheetLayoutView="100" workbookViewId="0"/>
  </sheetViews>
  <sheetFormatPr defaultRowHeight="15"/>
  <cols>
    <col min="1" max="1" width="30" customWidth="1"/>
    <col min="2" max="2" width="104" customWidth="1"/>
    <col min="3" max="3" width="42" customWidth="1"/>
    <col min="4" max="4" width="58" customWidth="1"/>
  </cols>
  <sheetData>
    <row r="1" spans="1:4" ht="27.95" customHeight="1">
      <c r="A1" s="6" t="s">
        <v>180</v>
      </c>
      <c r="B1" s="6"/>
      <c r="C1" s="6"/>
      <c r="D1" s="6"/>
    </row>
    <row r="2" spans="1:4" ht="32.1" customHeight="1">
      <c r="A2" s="7" t="s">
        <v>181</v>
      </c>
      <c r="B2" s="7"/>
      <c r="C2" s="7"/>
      <c r="D2" s="7"/>
    </row>
    <row r="4" spans="1:4">
      <c r="A4" s="3" t="s">
        <v>182</v>
      </c>
      <c r="B4" s="3" t="s">
        <v>183</v>
      </c>
      <c r="C4" s="3" t="s">
        <v>155</v>
      </c>
      <c r="D4" s="3" t="s">
        <v>156</v>
      </c>
    </row>
    <row r="5" spans="1:4">
      <c r="A5" s="4" t="s">
        <v>184</v>
      </c>
      <c r="B5" s="4" t="s">
        <v>185</v>
      </c>
      <c r="C5" s="4" t="s">
        <v>5</v>
      </c>
      <c r="D5" s="4" t="s">
        <v>159</v>
      </c>
    </row>
    <row r="6" spans="1:4">
      <c r="A6" s="4" t="s">
        <v>186</v>
      </c>
      <c r="B6" s="4" t="s">
        <v>187</v>
      </c>
      <c r="C6" s="4" t="s">
        <v>5</v>
      </c>
      <c r="D6" s="4" t="s">
        <v>159</v>
      </c>
    </row>
    <row r="7" spans="1:4">
      <c r="A7" s="4" t="s">
        <v>188</v>
      </c>
      <c r="B7" s="4" t="s">
        <v>189</v>
      </c>
      <c r="C7" s="4" t="s">
        <v>5</v>
      </c>
      <c r="D7" s="4" t="s">
        <v>159</v>
      </c>
    </row>
    <row r="8" spans="1:4">
      <c r="A8" s="4" t="s">
        <v>190</v>
      </c>
      <c r="B8" s="4" t="s">
        <v>191</v>
      </c>
      <c r="C8" s="4" t="s">
        <v>5</v>
      </c>
      <c r="D8" s="4" t="s">
        <v>159</v>
      </c>
    </row>
    <row r="9" spans="1:4">
      <c r="A9" s="4" t="s">
        <v>172</v>
      </c>
      <c r="B9" s="4" t="s">
        <v>192</v>
      </c>
      <c r="C9" s="4" t="s">
        <v>5</v>
      </c>
      <c r="D9" s="4" t="s">
        <v>159</v>
      </c>
    </row>
    <row r="10" spans="1:4">
      <c r="A10" s="4" t="s">
        <v>193</v>
      </c>
      <c r="B10" s="4" t="s">
        <v>194</v>
      </c>
      <c r="C10" s="4" t="s">
        <v>5</v>
      </c>
      <c r="D10" s="4" t="s">
        <v>159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9"/>
  <sheetViews>
    <sheetView tabSelected="1" topLeftCell="E45" zoomScaleNormal="100" zoomScaleSheetLayoutView="100" workbookViewId="0">
      <selection activeCell="G61" sqref="G61"/>
    </sheetView>
  </sheetViews>
  <sheetFormatPr defaultRowHeight="15"/>
  <cols>
    <col min="1" max="1" width="18" customWidth="1"/>
    <col min="2" max="2" width="20" customWidth="1"/>
    <col min="3" max="3" width="22" customWidth="1"/>
    <col min="4" max="4" width="18" customWidth="1"/>
    <col min="5" max="5" width="20" customWidth="1"/>
    <col min="6" max="6" width="12" customWidth="1"/>
    <col min="7" max="7" width="40" customWidth="1"/>
    <col min="8" max="8" width="14" customWidth="1"/>
    <col min="9" max="9" width="16" customWidth="1"/>
    <col min="10" max="11" width="14" customWidth="1"/>
    <col min="12" max="12" width="18" customWidth="1"/>
    <col min="13" max="13" width="28" customWidth="1"/>
    <col min="14" max="14" width="30" customWidth="1"/>
    <col min="15" max="15" width="68" customWidth="1"/>
    <col min="16" max="16" width="22" customWidth="1"/>
    <col min="17" max="17" width="42" customWidth="1"/>
  </cols>
  <sheetData>
    <row r="1" spans="1:17" ht="27.95" customHeight="1">
      <c r="A1" s="6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2.1" customHeight="1">
      <c r="A2" s="7" t="s">
        <v>196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spans="1:17">
      <c r="A4" s="3" t="s">
        <v>197</v>
      </c>
      <c r="B4" s="3" t="s">
        <v>198</v>
      </c>
      <c r="C4" s="3" t="s">
        <v>53</v>
      </c>
      <c r="D4" s="3" t="s">
        <v>199</v>
      </c>
      <c r="E4" s="3" t="s">
        <v>200</v>
      </c>
      <c r="F4" s="3" t="s">
        <v>56</v>
      </c>
      <c r="G4" s="3" t="s">
        <v>54</v>
      </c>
      <c r="H4" s="3" t="s">
        <v>55</v>
      </c>
      <c r="I4" s="3" t="s">
        <v>201</v>
      </c>
      <c r="J4" s="3" t="s">
        <v>202</v>
      </c>
      <c r="K4" s="3" t="s">
        <v>203</v>
      </c>
      <c r="L4" s="3" t="s">
        <v>60</v>
      </c>
      <c r="M4" s="3" t="s">
        <v>204</v>
      </c>
      <c r="N4" s="3" t="s">
        <v>205</v>
      </c>
      <c r="O4" s="3" t="s">
        <v>206</v>
      </c>
      <c r="P4" s="3" t="s">
        <v>27</v>
      </c>
      <c r="Q4" s="3" t="s">
        <v>28</v>
      </c>
    </row>
    <row r="5" spans="1:17">
      <c r="A5" s="4" t="s">
        <v>207</v>
      </c>
      <c r="B5" s="4" t="s">
        <v>208</v>
      </c>
      <c r="C5" s="4" t="s">
        <v>209</v>
      </c>
      <c r="D5" s="4" t="s">
        <v>210</v>
      </c>
      <c r="E5" s="4" t="s">
        <v>211</v>
      </c>
      <c r="F5" s="4" t="s">
        <v>66</v>
      </c>
      <c r="G5" s="4" t="s">
        <v>64</v>
      </c>
      <c r="H5" s="4" t="s">
        <v>65</v>
      </c>
      <c r="I5" s="5">
        <v>70</v>
      </c>
      <c r="J5" s="5"/>
      <c r="K5" s="5"/>
      <c r="L5" s="4" t="s">
        <v>67</v>
      </c>
      <c r="M5" s="4" t="s">
        <v>212</v>
      </c>
      <c r="N5" s="4" t="s">
        <v>116</v>
      </c>
      <c r="O5" s="4" t="s">
        <v>80</v>
      </c>
      <c r="P5" s="4" t="s">
        <v>69</v>
      </c>
      <c r="Q5" s="4" t="s">
        <v>5</v>
      </c>
    </row>
    <row r="6" spans="1:17">
      <c r="A6" s="4" t="s">
        <v>207</v>
      </c>
      <c r="B6" s="4" t="s">
        <v>208</v>
      </c>
      <c r="C6" s="4" t="s">
        <v>209</v>
      </c>
      <c r="D6" s="4" t="s">
        <v>210</v>
      </c>
      <c r="E6" s="4" t="s">
        <v>211</v>
      </c>
      <c r="F6" s="4" t="s">
        <v>66</v>
      </c>
      <c r="G6" s="4" t="s">
        <v>70</v>
      </c>
      <c r="H6" s="4" t="s">
        <v>71</v>
      </c>
      <c r="I6" s="5">
        <v>12.5</v>
      </c>
      <c r="J6" s="5"/>
      <c r="K6" s="5"/>
      <c r="L6" s="4" t="s">
        <v>72</v>
      </c>
      <c r="M6" s="4" t="s">
        <v>212</v>
      </c>
      <c r="N6" s="4" t="s">
        <v>116</v>
      </c>
      <c r="O6" s="4" t="s">
        <v>80</v>
      </c>
      <c r="P6" s="4" t="s">
        <v>69</v>
      </c>
      <c r="Q6" s="4" t="s">
        <v>5</v>
      </c>
    </row>
    <row r="7" spans="1:17">
      <c r="A7" s="4" t="s">
        <v>207</v>
      </c>
      <c r="B7" s="4" t="s">
        <v>208</v>
      </c>
      <c r="C7" s="4" t="s">
        <v>81</v>
      </c>
      <c r="D7" s="4" t="s">
        <v>210</v>
      </c>
      <c r="E7" s="4" t="s">
        <v>211</v>
      </c>
      <c r="F7" s="4" t="s">
        <v>66</v>
      </c>
      <c r="G7" s="4" t="s">
        <v>82</v>
      </c>
      <c r="H7" s="4" t="s">
        <v>83</v>
      </c>
      <c r="I7" s="5">
        <v>0.9</v>
      </c>
      <c r="J7" s="5"/>
      <c r="K7" s="5"/>
      <c r="L7" s="4" t="s">
        <v>76</v>
      </c>
      <c r="M7" s="4" t="s">
        <v>212</v>
      </c>
      <c r="N7" s="4" t="s">
        <v>116</v>
      </c>
      <c r="O7" s="4" t="s">
        <v>118</v>
      </c>
      <c r="P7" s="4" t="s">
        <v>69</v>
      </c>
      <c r="Q7" s="4" t="s">
        <v>5</v>
      </c>
    </row>
    <row r="8" spans="1:17">
      <c r="A8" s="4" t="s">
        <v>207</v>
      </c>
      <c r="B8" s="4" t="s">
        <v>208</v>
      </c>
      <c r="C8" s="4" t="s">
        <v>81</v>
      </c>
      <c r="D8" s="4" t="s">
        <v>210</v>
      </c>
      <c r="E8" s="4" t="s">
        <v>211</v>
      </c>
      <c r="F8" s="4" t="s">
        <v>66</v>
      </c>
      <c r="G8" s="4" t="s">
        <v>88</v>
      </c>
      <c r="H8" s="4" t="s">
        <v>89</v>
      </c>
      <c r="I8" s="5">
        <v>1.07</v>
      </c>
      <c r="J8" s="5"/>
      <c r="K8" s="5"/>
      <c r="L8" s="4" t="s">
        <v>90</v>
      </c>
      <c r="M8" s="4" t="s">
        <v>212</v>
      </c>
      <c r="N8" s="4" t="s">
        <v>116</v>
      </c>
      <c r="O8" s="4" t="s">
        <v>119</v>
      </c>
      <c r="P8" s="4" t="s">
        <v>69</v>
      </c>
      <c r="Q8" s="4" t="s">
        <v>5</v>
      </c>
    </row>
    <row r="9" spans="1:17">
      <c r="A9" s="4" t="s">
        <v>207</v>
      </c>
      <c r="B9" s="4" t="s">
        <v>208</v>
      </c>
      <c r="C9" s="4" t="s">
        <v>81</v>
      </c>
      <c r="D9" s="4" t="s">
        <v>210</v>
      </c>
      <c r="E9" s="4" t="s">
        <v>211</v>
      </c>
      <c r="F9" s="4" t="s">
        <v>66</v>
      </c>
      <c r="G9" s="4" t="s">
        <v>91</v>
      </c>
      <c r="H9" s="4" t="s">
        <v>92</v>
      </c>
      <c r="I9" s="5">
        <v>4.0000000000000001E-3</v>
      </c>
      <c r="J9" s="5"/>
      <c r="K9" s="5"/>
      <c r="L9" s="4" t="s">
        <v>93</v>
      </c>
      <c r="M9" s="4" t="s">
        <v>212</v>
      </c>
      <c r="N9" s="4" t="s">
        <v>116</v>
      </c>
      <c r="O9" s="4" t="s">
        <v>120</v>
      </c>
      <c r="P9" s="4" t="s">
        <v>69</v>
      </c>
      <c r="Q9" s="4" t="s">
        <v>5</v>
      </c>
    </row>
    <row r="10" spans="1:17">
      <c r="A10" s="4" t="s">
        <v>207</v>
      </c>
      <c r="B10" s="4" t="s">
        <v>208</v>
      </c>
      <c r="C10" s="4" t="s">
        <v>81</v>
      </c>
      <c r="D10" s="4" t="s">
        <v>210</v>
      </c>
      <c r="E10" s="4" t="s">
        <v>211</v>
      </c>
      <c r="F10" s="4" t="s">
        <v>66</v>
      </c>
      <c r="G10" s="4" t="s">
        <v>121</v>
      </c>
      <c r="H10" s="4" t="s">
        <v>122</v>
      </c>
      <c r="I10" s="5">
        <v>3.4</v>
      </c>
      <c r="J10" s="5"/>
      <c r="K10" s="5"/>
      <c r="L10" s="4" t="s">
        <v>123</v>
      </c>
      <c r="M10" s="4" t="s">
        <v>212</v>
      </c>
      <c r="N10" s="4" t="s">
        <v>116</v>
      </c>
      <c r="O10" s="4" t="s">
        <v>124</v>
      </c>
      <c r="P10" s="4" t="s">
        <v>69</v>
      </c>
      <c r="Q10" s="4" t="s">
        <v>5</v>
      </c>
    </row>
    <row r="11" spans="1:17">
      <c r="A11" s="4" t="s">
        <v>207</v>
      </c>
      <c r="B11" s="4" t="s">
        <v>208</v>
      </c>
      <c r="C11" s="4" t="s">
        <v>209</v>
      </c>
      <c r="D11" s="4" t="s">
        <v>210</v>
      </c>
      <c r="E11" s="4" t="s">
        <v>211</v>
      </c>
      <c r="F11" s="4" t="s">
        <v>66</v>
      </c>
      <c r="G11" s="4" t="s">
        <v>74</v>
      </c>
      <c r="H11" s="4" t="s">
        <v>75</v>
      </c>
      <c r="I11" s="5">
        <v>0.15</v>
      </c>
      <c r="J11" s="5"/>
      <c r="K11" s="5"/>
      <c r="L11" s="4" t="s">
        <v>76</v>
      </c>
      <c r="M11" s="4" t="s">
        <v>212</v>
      </c>
      <c r="N11" s="4" t="s">
        <v>125</v>
      </c>
      <c r="O11" s="4" t="s">
        <v>127</v>
      </c>
      <c r="P11" s="4" t="s">
        <v>128</v>
      </c>
      <c r="Q11" s="4" t="s">
        <v>5</v>
      </c>
    </row>
    <row r="12" spans="1:17">
      <c r="A12" s="4" t="s">
        <v>207</v>
      </c>
      <c r="B12" s="4" t="s">
        <v>208</v>
      </c>
      <c r="C12" s="4" t="s">
        <v>209</v>
      </c>
      <c r="D12" s="4" t="s">
        <v>210</v>
      </c>
      <c r="E12" s="4" t="s">
        <v>211</v>
      </c>
      <c r="F12" s="4" t="s">
        <v>66</v>
      </c>
      <c r="G12" s="4" t="s">
        <v>77</v>
      </c>
      <c r="H12" s="4" t="s">
        <v>78</v>
      </c>
      <c r="I12" s="5">
        <v>4.0000000000000002E-4</v>
      </c>
      <c r="J12" s="5"/>
      <c r="K12" s="5"/>
      <c r="L12" s="4" t="s">
        <v>79</v>
      </c>
      <c r="M12" s="4" t="s">
        <v>212</v>
      </c>
      <c r="N12" s="4" t="s">
        <v>125</v>
      </c>
      <c r="O12" s="4" t="s">
        <v>129</v>
      </c>
      <c r="P12" s="4" t="s">
        <v>128</v>
      </c>
      <c r="Q12" s="4" t="s">
        <v>5</v>
      </c>
    </row>
    <row r="13" spans="1:17">
      <c r="A13" s="4" t="s">
        <v>207</v>
      </c>
      <c r="B13" s="4" t="s">
        <v>208</v>
      </c>
      <c r="C13" s="4" t="s">
        <v>81</v>
      </c>
      <c r="D13" s="4" t="s">
        <v>210</v>
      </c>
      <c r="E13" s="4" t="s">
        <v>211</v>
      </c>
      <c r="F13" s="4" t="s">
        <v>66</v>
      </c>
      <c r="G13" s="4" t="s">
        <v>85</v>
      </c>
      <c r="H13" s="4" t="s">
        <v>86</v>
      </c>
      <c r="I13" s="5">
        <v>0.24</v>
      </c>
      <c r="J13" s="5"/>
      <c r="K13" s="5"/>
      <c r="L13" s="4" t="s">
        <v>79</v>
      </c>
      <c r="M13" s="4" t="s">
        <v>212</v>
      </c>
      <c r="N13" s="4" t="s">
        <v>125</v>
      </c>
      <c r="O13" s="4" t="s">
        <v>130</v>
      </c>
      <c r="P13" s="4" t="s">
        <v>128</v>
      </c>
      <c r="Q13" s="4" t="s">
        <v>5</v>
      </c>
    </row>
    <row r="14" spans="1:17">
      <c r="A14" s="4" t="s">
        <v>207</v>
      </c>
      <c r="B14" s="4" t="s">
        <v>208</v>
      </c>
      <c r="C14" s="4" t="s">
        <v>81</v>
      </c>
      <c r="D14" s="4" t="s">
        <v>210</v>
      </c>
      <c r="E14" s="4" t="s">
        <v>211</v>
      </c>
      <c r="F14" s="4" t="s">
        <v>66</v>
      </c>
      <c r="G14" s="4" t="s">
        <v>94</v>
      </c>
      <c r="H14" s="4" t="s">
        <v>95</v>
      </c>
      <c r="I14" s="5">
        <v>4.4999999999999997E-3</v>
      </c>
      <c r="J14" s="5"/>
      <c r="K14" s="5"/>
      <c r="L14" s="4" t="s">
        <v>76</v>
      </c>
      <c r="M14" s="4" t="s">
        <v>212</v>
      </c>
      <c r="N14" s="4" t="s">
        <v>125</v>
      </c>
      <c r="O14" s="4" t="s">
        <v>131</v>
      </c>
      <c r="P14" s="4" t="s">
        <v>128</v>
      </c>
      <c r="Q14" s="4" t="s">
        <v>5</v>
      </c>
    </row>
    <row r="15" spans="1:17">
      <c r="A15" s="4" t="s">
        <v>207</v>
      </c>
      <c r="B15" s="4" t="s">
        <v>208</v>
      </c>
      <c r="C15" s="4" t="s">
        <v>81</v>
      </c>
      <c r="D15" s="4" t="s">
        <v>210</v>
      </c>
      <c r="E15" s="4" t="s">
        <v>211</v>
      </c>
      <c r="F15" s="4" t="s">
        <v>66</v>
      </c>
      <c r="G15" s="4" t="s">
        <v>97</v>
      </c>
      <c r="H15" s="4" t="s">
        <v>98</v>
      </c>
      <c r="I15" s="5">
        <v>3.3</v>
      </c>
      <c r="J15" s="5"/>
      <c r="K15" s="5"/>
      <c r="L15" s="4" t="s">
        <v>99</v>
      </c>
      <c r="M15" s="4" t="s">
        <v>212</v>
      </c>
      <c r="N15" s="4" t="s">
        <v>125</v>
      </c>
      <c r="O15" s="4" t="s">
        <v>132</v>
      </c>
      <c r="P15" s="4" t="s">
        <v>128</v>
      </c>
      <c r="Q15" s="4" t="s">
        <v>5</v>
      </c>
    </row>
    <row r="16" spans="1:17">
      <c r="A16" s="4" t="s">
        <v>207</v>
      </c>
      <c r="B16" s="4" t="s">
        <v>208</v>
      </c>
      <c r="C16" s="4" t="s">
        <v>81</v>
      </c>
      <c r="D16" s="4" t="s">
        <v>210</v>
      </c>
      <c r="E16" s="4" t="s">
        <v>211</v>
      </c>
      <c r="F16" s="4" t="s">
        <v>66</v>
      </c>
      <c r="G16" s="4" t="s">
        <v>101</v>
      </c>
      <c r="H16" s="4" t="s">
        <v>102</v>
      </c>
      <c r="I16" s="5">
        <v>3.4</v>
      </c>
      <c r="J16" s="5"/>
      <c r="K16" s="5"/>
      <c r="L16" s="4" t="s">
        <v>99</v>
      </c>
      <c r="M16" s="4" t="s">
        <v>212</v>
      </c>
      <c r="N16" s="4" t="s">
        <v>125</v>
      </c>
      <c r="O16" s="4" t="s">
        <v>132</v>
      </c>
      <c r="P16" s="4" t="s">
        <v>128</v>
      </c>
      <c r="Q16" s="4" t="s">
        <v>5</v>
      </c>
    </row>
    <row r="17" spans="1:17">
      <c r="A17" s="4" t="s">
        <v>207</v>
      </c>
      <c r="B17" s="4" t="s">
        <v>208</v>
      </c>
      <c r="C17" s="4" t="s">
        <v>81</v>
      </c>
      <c r="D17" s="4" t="s">
        <v>210</v>
      </c>
      <c r="E17" s="4" t="s">
        <v>211</v>
      </c>
      <c r="F17" s="4" t="s">
        <v>66</v>
      </c>
      <c r="G17" s="4" t="s">
        <v>103</v>
      </c>
      <c r="H17" s="4" t="s">
        <v>104</v>
      </c>
      <c r="I17" s="5">
        <v>132</v>
      </c>
      <c r="J17" s="5"/>
      <c r="K17" s="5"/>
      <c r="L17" s="4" t="s">
        <v>99</v>
      </c>
      <c r="M17" s="4" t="s">
        <v>212</v>
      </c>
      <c r="N17" s="4" t="s">
        <v>125</v>
      </c>
      <c r="O17" s="4" t="s">
        <v>133</v>
      </c>
      <c r="P17" s="4" t="s">
        <v>128</v>
      </c>
      <c r="Q17" s="4" t="s">
        <v>5</v>
      </c>
    </row>
    <row r="18" spans="1:17">
      <c r="A18" s="4" t="s">
        <v>207</v>
      </c>
      <c r="B18" s="4" t="s">
        <v>208</v>
      </c>
      <c r="C18" s="4" t="s">
        <v>209</v>
      </c>
      <c r="D18" s="4" t="s">
        <v>210</v>
      </c>
      <c r="E18" s="4" t="s">
        <v>211</v>
      </c>
      <c r="F18" s="4" t="s">
        <v>105</v>
      </c>
      <c r="G18" s="4" t="s">
        <v>64</v>
      </c>
      <c r="H18" s="4" t="s">
        <v>65</v>
      </c>
      <c r="I18" s="5">
        <v>70</v>
      </c>
      <c r="J18" s="5"/>
      <c r="K18" s="5"/>
      <c r="L18" s="4" t="s">
        <v>67</v>
      </c>
      <c r="M18" s="4" t="s">
        <v>212</v>
      </c>
      <c r="N18" s="4" t="s">
        <v>116</v>
      </c>
      <c r="O18" s="4" t="s">
        <v>80</v>
      </c>
      <c r="P18" s="4" t="s">
        <v>69</v>
      </c>
      <c r="Q18" s="4" t="s">
        <v>5</v>
      </c>
    </row>
    <row r="19" spans="1:17">
      <c r="A19" s="4" t="s">
        <v>207</v>
      </c>
      <c r="B19" s="4" t="s">
        <v>208</v>
      </c>
      <c r="C19" s="4" t="s">
        <v>209</v>
      </c>
      <c r="D19" s="4" t="s">
        <v>210</v>
      </c>
      <c r="E19" s="4" t="s">
        <v>211</v>
      </c>
      <c r="F19" s="4" t="s">
        <v>105</v>
      </c>
      <c r="G19" s="4" t="s">
        <v>70</v>
      </c>
      <c r="H19" s="4" t="s">
        <v>71</v>
      </c>
      <c r="I19" s="5">
        <v>12.5</v>
      </c>
      <c r="J19" s="5"/>
      <c r="K19" s="5"/>
      <c r="L19" s="4" t="s">
        <v>72</v>
      </c>
      <c r="M19" s="4" t="s">
        <v>212</v>
      </c>
      <c r="N19" s="4" t="s">
        <v>116</v>
      </c>
      <c r="O19" s="4" t="s">
        <v>80</v>
      </c>
      <c r="P19" s="4" t="s">
        <v>69</v>
      </c>
      <c r="Q19" s="4" t="s">
        <v>5</v>
      </c>
    </row>
    <row r="20" spans="1:17">
      <c r="A20" s="4" t="s">
        <v>207</v>
      </c>
      <c r="B20" s="4" t="s">
        <v>208</v>
      </c>
      <c r="C20" s="4" t="s">
        <v>81</v>
      </c>
      <c r="D20" s="4" t="s">
        <v>210</v>
      </c>
      <c r="E20" s="4" t="s">
        <v>211</v>
      </c>
      <c r="F20" s="4" t="s">
        <v>105</v>
      </c>
      <c r="G20" s="4" t="s">
        <v>82</v>
      </c>
      <c r="H20" s="4" t="s">
        <v>83</v>
      </c>
      <c r="I20" s="5">
        <v>0.9</v>
      </c>
      <c r="J20" s="5"/>
      <c r="K20" s="5"/>
      <c r="L20" s="4" t="s">
        <v>76</v>
      </c>
      <c r="M20" s="4" t="s">
        <v>212</v>
      </c>
      <c r="N20" s="4" t="s">
        <v>116</v>
      </c>
      <c r="O20" s="4" t="s">
        <v>118</v>
      </c>
      <c r="P20" s="4" t="s">
        <v>69</v>
      </c>
      <c r="Q20" s="4" t="s">
        <v>5</v>
      </c>
    </row>
    <row r="21" spans="1:17">
      <c r="A21" s="4" t="s">
        <v>207</v>
      </c>
      <c r="B21" s="4" t="s">
        <v>208</v>
      </c>
      <c r="C21" s="4" t="s">
        <v>81</v>
      </c>
      <c r="D21" s="4" t="s">
        <v>210</v>
      </c>
      <c r="E21" s="4" t="s">
        <v>211</v>
      </c>
      <c r="F21" s="4" t="s">
        <v>105</v>
      </c>
      <c r="G21" s="4" t="s">
        <v>88</v>
      </c>
      <c r="H21" s="4" t="s">
        <v>89</v>
      </c>
      <c r="I21" s="5">
        <v>0.54</v>
      </c>
      <c r="J21" s="5"/>
      <c r="K21" s="5"/>
      <c r="L21" s="4" t="s">
        <v>90</v>
      </c>
      <c r="M21" s="4" t="s">
        <v>212</v>
      </c>
      <c r="N21" s="4" t="s">
        <v>116</v>
      </c>
      <c r="O21" s="4" t="s">
        <v>119</v>
      </c>
      <c r="P21" s="4" t="s">
        <v>69</v>
      </c>
      <c r="Q21" s="4" t="s">
        <v>5</v>
      </c>
    </row>
    <row r="22" spans="1:17">
      <c r="A22" s="4" t="s">
        <v>207</v>
      </c>
      <c r="B22" s="4" t="s">
        <v>208</v>
      </c>
      <c r="C22" s="4" t="s">
        <v>81</v>
      </c>
      <c r="D22" s="4" t="s">
        <v>210</v>
      </c>
      <c r="E22" s="4" t="s">
        <v>211</v>
      </c>
      <c r="F22" s="4" t="s">
        <v>105</v>
      </c>
      <c r="G22" s="4" t="s">
        <v>91</v>
      </c>
      <c r="H22" s="4" t="s">
        <v>92</v>
      </c>
      <c r="I22" s="5">
        <v>8.0000000000000002E-3</v>
      </c>
      <c r="J22" s="5"/>
      <c r="K22" s="5"/>
      <c r="L22" s="4" t="s">
        <v>93</v>
      </c>
      <c r="M22" s="4" t="s">
        <v>212</v>
      </c>
      <c r="N22" s="4" t="s">
        <v>116</v>
      </c>
      <c r="O22" s="4" t="s">
        <v>120</v>
      </c>
      <c r="P22" s="4" t="s">
        <v>69</v>
      </c>
      <c r="Q22" s="4" t="s">
        <v>5</v>
      </c>
    </row>
    <row r="23" spans="1:17">
      <c r="A23" s="4" t="s">
        <v>207</v>
      </c>
      <c r="B23" s="4" t="s">
        <v>208</v>
      </c>
      <c r="C23" s="4" t="s">
        <v>81</v>
      </c>
      <c r="D23" s="4" t="s">
        <v>210</v>
      </c>
      <c r="E23" s="4" t="s">
        <v>211</v>
      </c>
      <c r="F23" s="4" t="s">
        <v>105</v>
      </c>
      <c r="G23" s="4" t="s">
        <v>121</v>
      </c>
      <c r="H23" s="4" t="s">
        <v>122</v>
      </c>
      <c r="I23" s="5">
        <v>2.7</v>
      </c>
      <c r="J23" s="5"/>
      <c r="K23" s="5"/>
      <c r="L23" s="4" t="s">
        <v>123</v>
      </c>
      <c r="M23" s="4" t="s">
        <v>212</v>
      </c>
      <c r="N23" s="4" t="s">
        <v>116</v>
      </c>
      <c r="O23" s="4" t="s">
        <v>124</v>
      </c>
      <c r="P23" s="4" t="s">
        <v>69</v>
      </c>
      <c r="Q23" s="4" t="s">
        <v>5</v>
      </c>
    </row>
    <row r="24" spans="1:17">
      <c r="A24" s="4" t="s">
        <v>207</v>
      </c>
      <c r="B24" s="4" t="s">
        <v>208</v>
      </c>
      <c r="C24" s="4" t="s">
        <v>209</v>
      </c>
      <c r="D24" s="4" t="s">
        <v>210</v>
      </c>
      <c r="E24" s="4" t="s">
        <v>211</v>
      </c>
      <c r="F24" s="4" t="s">
        <v>105</v>
      </c>
      <c r="G24" s="4" t="s">
        <v>74</v>
      </c>
      <c r="H24" s="4" t="s">
        <v>75</v>
      </c>
      <c r="I24" s="5">
        <v>0.15</v>
      </c>
      <c r="J24" s="5"/>
      <c r="K24" s="5"/>
      <c r="L24" s="4" t="s">
        <v>76</v>
      </c>
      <c r="M24" s="4" t="s">
        <v>212</v>
      </c>
      <c r="N24" s="4" t="s">
        <v>125</v>
      </c>
      <c r="O24" s="4" t="s">
        <v>127</v>
      </c>
      <c r="P24" s="4" t="s">
        <v>128</v>
      </c>
      <c r="Q24" s="4" t="s">
        <v>5</v>
      </c>
    </row>
    <row r="25" spans="1:17">
      <c r="A25" s="4" t="s">
        <v>207</v>
      </c>
      <c r="B25" s="4" t="s">
        <v>208</v>
      </c>
      <c r="C25" s="4" t="s">
        <v>209</v>
      </c>
      <c r="D25" s="4" t="s">
        <v>210</v>
      </c>
      <c r="E25" s="4" t="s">
        <v>211</v>
      </c>
      <c r="F25" s="4" t="s">
        <v>105</v>
      </c>
      <c r="G25" s="4" t="s">
        <v>77</v>
      </c>
      <c r="H25" s="4" t="s">
        <v>78</v>
      </c>
      <c r="I25" s="5">
        <v>4.0000000000000002E-4</v>
      </c>
      <c r="J25" s="5"/>
      <c r="K25" s="5"/>
      <c r="L25" s="4" t="s">
        <v>79</v>
      </c>
      <c r="M25" s="4" t="s">
        <v>212</v>
      </c>
      <c r="N25" s="4" t="s">
        <v>125</v>
      </c>
      <c r="O25" s="4" t="s">
        <v>129</v>
      </c>
      <c r="P25" s="4" t="s">
        <v>128</v>
      </c>
      <c r="Q25" s="4" t="s">
        <v>5</v>
      </c>
    </row>
    <row r="26" spans="1:17">
      <c r="A26" s="4" t="s">
        <v>207</v>
      </c>
      <c r="B26" s="4" t="s">
        <v>208</v>
      </c>
      <c r="C26" s="4" t="s">
        <v>81</v>
      </c>
      <c r="D26" s="4" t="s">
        <v>210</v>
      </c>
      <c r="E26" s="4" t="s">
        <v>211</v>
      </c>
      <c r="F26" s="4" t="s">
        <v>105</v>
      </c>
      <c r="G26" s="4" t="s">
        <v>85</v>
      </c>
      <c r="H26" s="4" t="s">
        <v>86</v>
      </c>
      <c r="I26" s="5">
        <v>0.23</v>
      </c>
      <c r="J26" s="5"/>
      <c r="K26" s="5"/>
      <c r="L26" s="4" t="s">
        <v>79</v>
      </c>
      <c r="M26" s="4" t="s">
        <v>212</v>
      </c>
      <c r="N26" s="4" t="s">
        <v>125</v>
      </c>
      <c r="O26" s="4" t="s">
        <v>130</v>
      </c>
      <c r="P26" s="4" t="s">
        <v>128</v>
      </c>
      <c r="Q26" s="4" t="s">
        <v>5</v>
      </c>
    </row>
    <row r="27" spans="1:17">
      <c r="A27" s="4" t="s">
        <v>207</v>
      </c>
      <c r="B27" s="4" t="s">
        <v>208</v>
      </c>
      <c r="C27" s="4" t="s">
        <v>81</v>
      </c>
      <c r="D27" s="4" t="s">
        <v>210</v>
      </c>
      <c r="E27" s="4" t="s">
        <v>211</v>
      </c>
      <c r="F27" s="4" t="s">
        <v>105</v>
      </c>
      <c r="G27" s="4" t="s">
        <v>94</v>
      </c>
      <c r="H27" s="4" t="s">
        <v>95</v>
      </c>
      <c r="I27" s="5">
        <v>1.1999999999999999E-3</v>
      </c>
      <c r="J27" s="5"/>
      <c r="K27" s="5"/>
      <c r="L27" s="4" t="s">
        <v>76</v>
      </c>
      <c r="M27" s="4" t="s">
        <v>212</v>
      </c>
      <c r="N27" s="4" t="s">
        <v>125</v>
      </c>
      <c r="O27" s="4" t="s">
        <v>131</v>
      </c>
      <c r="P27" s="4" t="s">
        <v>128</v>
      </c>
      <c r="Q27" s="4" t="s">
        <v>5</v>
      </c>
    </row>
    <row r="28" spans="1:17">
      <c r="A28" s="4" t="s">
        <v>207</v>
      </c>
      <c r="B28" s="4" t="s">
        <v>208</v>
      </c>
      <c r="C28" s="4" t="s">
        <v>81</v>
      </c>
      <c r="D28" s="4" t="s">
        <v>210</v>
      </c>
      <c r="E28" s="4" t="s">
        <v>211</v>
      </c>
      <c r="F28" s="4" t="s">
        <v>105</v>
      </c>
      <c r="G28" s="4" t="s">
        <v>97</v>
      </c>
      <c r="H28" s="4" t="s">
        <v>98</v>
      </c>
      <c r="I28" s="5">
        <v>3.3</v>
      </c>
      <c r="J28" s="5"/>
      <c r="K28" s="5"/>
      <c r="L28" s="4" t="s">
        <v>99</v>
      </c>
      <c r="M28" s="4" t="s">
        <v>212</v>
      </c>
      <c r="N28" s="4" t="s">
        <v>125</v>
      </c>
      <c r="O28" s="4" t="s">
        <v>132</v>
      </c>
      <c r="P28" s="4" t="s">
        <v>128</v>
      </c>
      <c r="Q28" s="4" t="s">
        <v>5</v>
      </c>
    </row>
    <row r="29" spans="1:17">
      <c r="A29" s="4" t="s">
        <v>207</v>
      </c>
      <c r="B29" s="4" t="s">
        <v>208</v>
      </c>
      <c r="C29" s="4" t="s">
        <v>81</v>
      </c>
      <c r="D29" s="4" t="s">
        <v>210</v>
      </c>
      <c r="E29" s="4" t="s">
        <v>211</v>
      </c>
      <c r="F29" s="4" t="s">
        <v>105</v>
      </c>
      <c r="G29" s="4" t="s">
        <v>101</v>
      </c>
      <c r="H29" s="4" t="s">
        <v>102</v>
      </c>
      <c r="I29" s="5">
        <v>3.4</v>
      </c>
      <c r="J29" s="5"/>
      <c r="K29" s="5"/>
      <c r="L29" s="4" t="s">
        <v>99</v>
      </c>
      <c r="M29" s="4" t="s">
        <v>212</v>
      </c>
      <c r="N29" s="4" t="s">
        <v>125</v>
      </c>
      <c r="O29" s="4" t="s">
        <v>132</v>
      </c>
      <c r="P29" s="4" t="s">
        <v>128</v>
      </c>
      <c r="Q29" s="4" t="s">
        <v>5</v>
      </c>
    </row>
    <row r="30" spans="1:17">
      <c r="A30" s="4" t="s">
        <v>207</v>
      </c>
      <c r="B30" s="4" t="s">
        <v>208</v>
      </c>
      <c r="C30" s="4" t="s">
        <v>81</v>
      </c>
      <c r="D30" s="4" t="s">
        <v>210</v>
      </c>
      <c r="E30" s="4" t="s">
        <v>211</v>
      </c>
      <c r="F30" s="4" t="s">
        <v>105</v>
      </c>
      <c r="G30" s="4" t="s">
        <v>103</v>
      </c>
      <c r="H30" s="4" t="s">
        <v>104</v>
      </c>
      <c r="I30" s="5">
        <v>230</v>
      </c>
      <c r="J30" s="5"/>
      <c r="K30" s="5"/>
      <c r="L30" s="4" t="s">
        <v>99</v>
      </c>
      <c r="M30" s="4" t="s">
        <v>212</v>
      </c>
      <c r="N30" s="4" t="s">
        <v>125</v>
      </c>
      <c r="O30" s="4" t="s">
        <v>133</v>
      </c>
      <c r="P30" s="4" t="s">
        <v>128</v>
      </c>
      <c r="Q30" s="4" t="s">
        <v>5</v>
      </c>
    </row>
    <row r="31" spans="1:17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106</v>
      </c>
      <c r="G31" s="4" t="s">
        <v>64</v>
      </c>
      <c r="H31" s="4" t="s">
        <v>65</v>
      </c>
      <c r="I31" s="5">
        <v>70</v>
      </c>
      <c r="J31" s="5"/>
      <c r="K31" s="5"/>
      <c r="L31" s="4" t="s">
        <v>67</v>
      </c>
      <c r="M31" s="4" t="s">
        <v>212</v>
      </c>
      <c r="N31" s="4" t="s">
        <v>116</v>
      </c>
      <c r="O31" s="4" t="s">
        <v>80</v>
      </c>
      <c r="P31" s="4" t="s">
        <v>108</v>
      </c>
      <c r="Q31" s="4" t="s">
        <v>5</v>
      </c>
    </row>
    <row r="32" spans="1:17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106</v>
      </c>
      <c r="G32" s="4" t="s">
        <v>70</v>
      </c>
      <c r="H32" s="4" t="s">
        <v>71</v>
      </c>
      <c r="I32" s="5">
        <v>12.5</v>
      </c>
      <c r="J32" s="5"/>
      <c r="K32" s="5"/>
      <c r="L32" s="4" t="s">
        <v>72</v>
      </c>
      <c r="M32" s="4" t="s">
        <v>212</v>
      </c>
      <c r="N32" s="4" t="s">
        <v>116</v>
      </c>
      <c r="O32" s="4" t="s">
        <v>80</v>
      </c>
      <c r="P32" s="4" t="s">
        <v>108</v>
      </c>
      <c r="Q32" s="4" t="s">
        <v>5</v>
      </c>
    </row>
    <row r="33" spans="1:17">
      <c r="A33" s="4" t="s">
        <v>207</v>
      </c>
      <c r="B33" s="4" t="s">
        <v>208</v>
      </c>
      <c r="C33" s="4" t="s">
        <v>81</v>
      </c>
      <c r="D33" s="4" t="s">
        <v>210</v>
      </c>
      <c r="E33" s="4" t="s">
        <v>211</v>
      </c>
      <c r="F33" s="4" t="s">
        <v>106</v>
      </c>
      <c r="G33" s="4" t="s">
        <v>82</v>
      </c>
      <c r="H33" s="4" t="s">
        <v>83</v>
      </c>
      <c r="I33" s="5">
        <v>0.9</v>
      </c>
      <c r="J33" s="5"/>
      <c r="K33" s="5"/>
      <c r="L33" s="4" t="s">
        <v>76</v>
      </c>
      <c r="M33" s="4" t="s">
        <v>212</v>
      </c>
      <c r="N33" s="4" t="s">
        <v>116</v>
      </c>
      <c r="O33" s="4" t="s">
        <v>118</v>
      </c>
      <c r="P33" s="4" t="s">
        <v>108</v>
      </c>
      <c r="Q33" s="4" t="s">
        <v>5</v>
      </c>
    </row>
    <row r="34" spans="1:17">
      <c r="A34" s="4" t="s">
        <v>207</v>
      </c>
      <c r="B34" s="4" t="s">
        <v>208</v>
      </c>
      <c r="C34" s="4" t="s">
        <v>81</v>
      </c>
      <c r="D34" s="4" t="s">
        <v>210</v>
      </c>
      <c r="E34" s="4" t="s">
        <v>211</v>
      </c>
      <c r="F34" s="4" t="s">
        <v>106</v>
      </c>
      <c r="G34" s="4" t="s">
        <v>88</v>
      </c>
      <c r="H34" s="4" t="s">
        <v>89</v>
      </c>
      <c r="I34" s="5">
        <v>0.47</v>
      </c>
      <c r="J34" s="5"/>
      <c r="K34" s="5"/>
      <c r="L34" s="4" t="s">
        <v>90</v>
      </c>
      <c r="M34" s="4" t="s">
        <v>212</v>
      </c>
      <c r="N34" s="4" t="s">
        <v>116</v>
      </c>
      <c r="O34" s="4" t="s">
        <v>119</v>
      </c>
      <c r="P34" s="4" t="s">
        <v>108</v>
      </c>
      <c r="Q34" s="4" t="s">
        <v>5</v>
      </c>
    </row>
    <row r="35" spans="1:17">
      <c r="A35" s="4" t="s">
        <v>207</v>
      </c>
      <c r="B35" s="4" t="s">
        <v>208</v>
      </c>
      <c r="C35" s="4" t="s">
        <v>81</v>
      </c>
      <c r="D35" s="4" t="s">
        <v>210</v>
      </c>
      <c r="E35" s="4" t="s">
        <v>211</v>
      </c>
      <c r="F35" s="4" t="s">
        <v>106</v>
      </c>
      <c r="G35" s="4" t="s">
        <v>91</v>
      </c>
      <c r="H35" s="4" t="s">
        <v>92</v>
      </c>
      <c r="I35" s="5">
        <v>4.0000000000000001E-3</v>
      </c>
      <c r="J35" s="5"/>
      <c r="K35" s="5"/>
      <c r="L35" s="4" t="s">
        <v>93</v>
      </c>
      <c r="M35" s="4" t="s">
        <v>212</v>
      </c>
      <c r="N35" s="4" t="s">
        <v>116</v>
      </c>
      <c r="O35" s="4" t="s">
        <v>120</v>
      </c>
      <c r="P35" s="4" t="s">
        <v>108</v>
      </c>
      <c r="Q35" s="4" t="s">
        <v>5</v>
      </c>
    </row>
    <row r="36" spans="1:17">
      <c r="A36" s="4" t="s">
        <v>207</v>
      </c>
      <c r="B36" s="4" t="s">
        <v>208</v>
      </c>
      <c r="C36" s="4" t="s">
        <v>81</v>
      </c>
      <c r="D36" s="4" t="s">
        <v>210</v>
      </c>
      <c r="E36" s="4" t="s">
        <v>211</v>
      </c>
      <c r="F36" s="4" t="s">
        <v>106</v>
      </c>
      <c r="G36" s="4" t="s">
        <v>121</v>
      </c>
      <c r="H36" s="4" t="s">
        <v>122</v>
      </c>
      <c r="I36" s="5">
        <v>5.3</v>
      </c>
      <c r="J36" s="5"/>
      <c r="K36" s="5"/>
      <c r="L36" s="4" t="s">
        <v>123</v>
      </c>
      <c r="M36" s="4" t="s">
        <v>212</v>
      </c>
      <c r="N36" s="4" t="s">
        <v>116</v>
      </c>
      <c r="O36" s="4" t="s">
        <v>124</v>
      </c>
      <c r="P36" s="4" t="s">
        <v>108</v>
      </c>
      <c r="Q36" s="4" t="s">
        <v>5</v>
      </c>
    </row>
    <row r="37" spans="1:17">
      <c r="A37" s="4" t="s">
        <v>207</v>
      </c>
      <c r="B37" s="4" t="s">
        <v>208</v>
      </c>
      <c r="C37" s="4" t="s">
        <v>209</v>
      </c>
      <c r="D37" s="4" t="s">
        <v>210</v>
      </c>
      <c r="E37" s="4" t="s">
        <v>211</v>
      </c>
      <c r="F37" s="4" t="s">
        <v>106</v>
      </c>
      <c r="G37" s="4" t="s">
        <v>74</v>
      </c>
      <c r="H37" s="4" t="s">
        <v>75</v>
      </c>
      <c r="I37" s="5">
        <v>0.15</v>
      </c>
      <c r="J37" s="5"/>
      <c r="K37" s="5"/>
      <c r="L37" s="4" t="s">
        <v>76</v>
      </c>
      <c r="M37" s="4" t="s">
        <v>212</v>
      </c>
      <c r="N37" s="4" t="s">
        <v>125</v>
      </c>
      <c r="O37" s="4" t="s">
        <v>127</v>
      </c>
      <c r="P37" s="4" t="s">
        <v>128</v>
      </c>
      <c r="Q37" s="4" t="s">
        <v>5</v>
      </c>
    </row>
    <row r="38" spans="1:17">
      <c r="A38" s="4" t="s">
        <v>207</v>
      </c>
      <c r="B38" s="4" t="s">
        <v>208</v>
      </c>
      <c r="C38" s="4" t="s">
        <v>209</v>
      </c>
      <c r="D38" s="4" t="s">
        <v>210</v>
      </c>
      <c r="E38" s="4" t="s">
        <v>211</v>
      </c>
      <c r="F38" s="4" t="s">
        <v>106</v>
      </c>
      <c r="G38" s="4" t="s">
        <v>77</v>
      </c>
      <c r="H38" s="4" t="s">
        <v>78</v>
      </c>
      <c r="I38" s="5">
        <v>4.0000000000000002E-4</v>
      </c>
      <c r="J38" s="5"/>
      <c r="K38" s="5"/>
      <c r="L38" s="4" t="s">
        <v>79</v>
      </c>
      <c r="M38" s="4" t="s">
        <v>212</v>
      </c>
      <c r="N38" s="4" t="s">
        <v>125</v>
      </c>
      <c r="O38" s="4" t="s">
        <v>129</v>
      </c>
      <c r="P38" s="4" t="s">
        <v>128</v>
      </c>
      <c r="Q38" s="4" t="s">
        <v>5</v>
      </c>
    </row>
    <row r="39" spans="1:17">
      <c r="A39" s="4" t="s">
        <v>207</v>
      </c>
      <c r="B39" s="4" t="s">
        <v>208</v>
      </c>
      <c r="C39" s="4" t="s">
        <v>81</v>
      </c>
      <c r="D39" s="4" t="s">
        <v>210</v>
      </c>
      <c r="E39" s="4" t="s">
        <v>211</v>
      </c>
      <c r="F39" s="4" t="s">
        <v>106</v>
      </c>
      <c r="G39" s="4" t="s">
        <v>85</v>
      </c>
      <c r="H39" s="4" t="s">
        <v>86</v>
      </c>
      <c r="I39" s="5">
        <v>0.17</v>
      </c>
      <c r="J39" s="5"/>
      <c r="K39" s="5"/>
      <c r="L39" s="4" t="s">
        <v>79</v>
      </c>
      <c r="M39" s="4" t="s">
        <v>212</v>
      </c>
      <c r="N39" s="4" t="s">
        <v>125</v>
      </c>
      <c r="O39" s="4" t="s">
        <v>130</v>
      </c>
      <c r="P39" s="4" t="s">
        <v>128</v>
      </c>
      <c r="Q39" s="4" t="s">
        <v>5</v>
      </c>
    </row>
    <row r="40" spans="1:17">
      <c r="A40" s="4" t="s">
        <v>207</v>
      </c>
      <c r="B40" s="4" t="s">
        <v>208</v>
      </c>
      <c r="C40" s="4" t="s">
        <v>81</v>
      </c>
      <c r="D40" s="4" t="s">
        <v>210</v>
      </c>
      <c r="E40" s="4" t="s">
        <v>211</v>
      </c>
      <c r="F40" s="4" t="s">
        <v>106</v>
      </c>
      <c r="G40" s="4" t="s">
        <v>94</v>
      </c>
      <c r="H40" s="4" t="s">
        <v>95</v>
      </c>
      <c r="I40" s="5">
        <v>8.9999999999999998E-4</v>
      </c>
      <c r="J40" s="5"/>
      <c r="K40" s="5"/>
      <c r="L40" s="4" t="s">
        <v>76</v>
      </c>
      <c r="M40" s="4" t="s">
        <v>212</v>
      </c>
      <c r="N40" s="4" t="s">
        <v>125</v>
      </c>
      <c r="O40" s="4" t="s">
        <v>131</v>
      </c>
      <c r="P40" s="4" t="s">
        <v>128</v>
      </c>
      <c r="Q40" s="4" t="s">
        <v>5</v>
      </c>
    </row>
    <row r="41" spans="1:17">
      <c r="A41" s="4" t="s">
        <v>207</v>
      </c>
      <c r="B41" s="4" t="s">
        <v>208</v>
      </c>
      <c r="C41" s="4" t="s">
        <v>81</v>
      </c>
      <c r="D41" s="4" t="s">
        <v>210</v>
      </c>
      <c r="E41" s="4" t="s">
        <v>211</v>
      </c>
      <c r="F41" s="4" t="s">
        <v>106</v>
      </c>
      <c r="G41" s="4" t="s">
        <v>97</v>
      </c>
      <c r="H41" s="4" t="s">
        <v>98</v>
      </c>
      <c r="I41" s="5">
        <v>3.3</v>
      </c>
      <c r="J41" s="5"/>
      <c r="K41" s="5"/>
      <c r="L41" s="4" t="s">
        <v>99</v>
      </c>
      <c r="M41" s="4" t="s">
        <v>212</v>
      </c>
      <c r="N41" s="4" t="s">
        <v>125</v>
      </c>
      <c r="O41" s="4" t="s">
        <v>132</v>
      </c>
      <c r="P41" s="4" t="s">
        <v>128</v>
      </c>
      <c r="Q41" s="4" t="s">
        <v>5</v>
      </c>
    </row>
    <row r="42" spans="1:17">
      <c r="A42" s="4" t="s">
        <v>207</v>
      </c>
      <c r="B42" s="4" t="s">
        <v>208</v>
      </c>
      <c r="C42" s="4" t="s">
        <v>81</v>
      </c>
      <c r="D42" s="4" t="s">
        <v>210</v>
      </c>
      <c r="E42" s="4" t="s">
        <v>211</v>
      </c>
      <c r="F42" s="4" t="s">
        <v>106</v>
      </c>
      <c r="G42" s="4" t="s">
        <v>101</v>
      </c>
      <c r="H42" s="4" t="s">
        <v>102</v>
      </c>
      <c r="I42" s="5">
        <v>3.4</v>
      </c>
      <c r="J42" s="5"/>
      <c r="K42" s="5"/>
      <c r="L42" s="4" t="s">
        <v>99</v>
      </c>
      <c r="M42" s="4" t="s">
        <v>212</v>
      </c>
      <c r="N42" s="4" t="s">
        <v>125</v>
      </c>
      <c r="O42" s="4" t="s">
        <v>132</v>
      </c>
      <c r="P42" s="4" t="s">
        <v>128</v>
      </c>
      <c r="Q42" s="4" t="s">
        <v>5</v>
      </c>
    </row>
    <row r="43" spans="1:17">
      <c r="A43" s="4" t="s">
        <v>207</v>
      </c>
      <c r="B43" s="4" t="s">
        <v>208</v>
      </c>
      <c r="C43" s="4" t="s">
        <v>81</v>
      </c>
      <c r="D43" s="4" t="s">
        <v>210</v>
      </c>
      <c r="E43" s="4" t="s">
        <v>211</v>
      </c>
      <c r="F43" s="4" t="s">
        <v>106</v>
      </c>
      <c r="G43" s="4" t="s">
        <v>103</v>
      </c>
      <c r="H43" s="4" t="s">
        <v>104</v>
      </c>
      <c r="I43" s="5">
        <v>132</v>
      </c>
      <c r="J43" s="5"/>
      <c r="K43" s="5"/>
      <c r="L43" s="4" t="s">
        <v>99</v>
      </c>
      <c r="M43" s="4" t="s">
        <v>212</v>
      </c>
      <c r="N43" s="4" t="s">
        <v>125</v>
      </c>
      <c r="O43" s="4" t="s">
        <v>134</v>
      </c>
      <c r="P43" s="4" t="s">
        <v>128</v>
      </c>
      <c r="Q43" s="4" t="s">
        <v>5</v>
      </c>
    </row>
    <row r="44" spans="1:17">
      <c r="A44" s="4" t="s">
        <v>207</v>
      </c>
      <c r="B44" s="4" t="s">
        <v>213</v>
      </c>
      <c r="C44" s="4" t="s">
        <v>63</v>
      </c>
      <c r="D44" s="4" t="s">
        <v>214</v>
      </c>
      <c r="E44" s="4" t="s">
        <v>215</v>
      </c>
      <c r="F44" s="4" t="s">
        <v>66</v>
      </c>
      <c r="G44" s="4" t="s">
        <v>64</v>
      </c>
      <c r="H44" s="4" t="s">
        <v>65</v>
      </c>
      <c r="I44" s="5">
        <v>5</v>
      </c>
      <c r="J44" s="5"/>
      <c r="K44" s="5"/>
      <c r="L44" s="4" t="s">
        <v>67</v>
      </c>
      <c r="M44" s="4" t="s">
        <v>212</v>
      </c>
      <c r="N44" s="4" t="s">
        <v>216</v>
      </c>
      <c r="O44" s="4" t="s">
        <v>68</v>
      </c>
      <c r="P44" s="4" t="s">
        <v>69</v>
      </c>
      <c r="Q44" s="4" t="s">
        <v>5</v>
      </c>
    </row>
    <row r="45" spans="1:17">
      <c r="A45" s="4" t="s">
        <v>207</v>
      </c>
      <c r="B45" s="4" t="s">
        <v>213</v>
      </c>
      <c r="C45" s="4" t="s">
        <v>63</v>
      </c>
      <c r="D45" s="4" t="s">
        <v>214</v>
      </c>
      <c r="E45" s="4" t="s">
        <v>215</v>
      </c>
      <c r="F45" s="4" t="s">
        <v>66</v>
      </c>
      <c r="G45" s="4" t="s">
        <v>70</v>
      </c>
      <c r="H45" s="4" t="s">
        <v>71</v>
      </c>
      <c r="I45" s="5">
        <v>19.8</v>
      </c>
      <c r="J45" s="5"/>
      <c r="K45" s="5"/>
      <c r="L45" s="4" t="s">
        <v>72</v>
      </c>
      <c r="M45" s="4" t="s">
        <v>212</v>
      </c>
      <c r="N45" s="4" t="s">
        <v>216</v>
      </c>
      <c r="O45" s="4" t="s">
        <v>73</v>
      </c>
      <c r="P45" s="4" t="s">
        <v>69</v>
      </c>
      <c r="Q45" s="4" t="s">
        <v>5</v>
      </c>
    </row>
    <row r="46" spans="1:17">
      <c r="A46" s="4" t="s">
        <v>207</v>
      </c>
      <c r="B46" s="4" t="s">
        <v>213</v>
      </c>
      <c r="C46" s="4" t="s">
        <v>63</v>
      </c>
      <c r="D46" s="4" t="s">
        <v>214</v>
      </c>
      <c r="E46" s="4" t="s">
        <v>215</v>
      </c>
      <c r="F46" s="4" t="s">
        <v>66</v>
      </c>
      <c r="G46" s="4" t="s">
        <v>74</v>
      </c>
      <c r="H46" s="4" t="s">
        <v>75</v>
      </c>
      <c r="I46" s="5">
        <v>0.15</v>
      </c>
      <c r="J46" s="5"/>
      <c r="K46" s="5"/>
      <c r="L46" s="4" t="s">
        <v>76</v>
      </c>
      <c r="M46" s="4" t="s">
        <v>212</v>
      </c>
      <c r="N46" s="4" t="s">
        <v>216</v>
      </c>
      <c r="O46" s="4" t="s">
        <v>73</v>
      </c>
      <c r="P46" s="4" t="s">
        <v>69</v>
      </c>
      <c r="Q46" s="4" t="s">
        <v>5</v>
      </c>
    </row>
    <row r="47" spans="1:17">
      <c r="A47" s="4" t="s">
        <v>207</v>
      </c>
      <c r="B47" s="4" t="s">
        <v>213</v>
      </c>
      <c r="C47" s="4" t="s">
        <v>63</v>
      </c>
      <c r="D47" s="4" t="s">
        <v>214</v>
      </c>
      <c r="E47" s="4" t="s">
        <v>215</v>
      </c>
      <c r="F47" s="4" t="s">
        <v>66</v>
      </c>
      <c r="G47" s="4" t="s">
        <v>77</v>
      </c>
      <c r="H47" s="4" t="s">
        <v>78</v>
      </c>
      <c r="I47" s="5">
        <v>4.0000000000000002E-4</v>
      </c>
      <c r="J47" s="5"/>
      <c r="K47" s="5"/>
      <c r="L47" s="4" t="s">
        <v>79</v>
      </c>
      <c r="M47" s="4" t="s">
        <v>212</v>
      </c>
      <c r="N47" s="4" t="s">
        <v>216</v>
      </c>
      <c r="O47" s="4" t="s">
        <v>80</v>
      </c>
      <c r="P47" s="4" t="s">
        <v>69</v>
      </c>
      <c r="Q47" s="4" t="s">
        <v>5</v>
      </c>
    </row>
    <row r="48" spans="1:17">
      <c r="A48" s="4" t="s">
        <v>207</v>
      </c>
      <c r="B48" s="4" t="s">
        <v>213</v>
      </c>
      <c r="C48" s="4" t="s">
        <v>81</v>
      </c>
      <c r="D48" s="4" t="s">
        <v>214</v>
      </c>
      <c r="E48" s="4" t="s">
        <v>215</v>
      </c>
      <c r="F48" s="4" t="s">
        <v>66</v>
      </c>
      <c r="G48" s="4" t="s">
        <v>82</v>
      </c>
      <c r="H48" s="4" t="s">
        <v>83</v>
      </c>
      <c r="I48" s="5">
        <v>0.9</v>
      </c>
      <c r="J48" s="5"/>
      <c r="K48" s="5"/>
      <c r="L48" s="4" t="s">
        <v>76</v>
      </c>
      <c r="M48" s="4" t="s">
        <v>212</v>
      </c>
      <c r="N48" s="4" t="s">
        <v>216</v>
      </c>
      <c r="O48" s="4" t="s">
        <v>84</v>
      </c>
      <c r="P48" s="4" t="s">
        <v>69</v>
      </c>
      <c r="Q48" s="4" t="s">
        <v>5</v>
      </c>
    </row>
    <row r="49" spans="1:17">
      <c r="A49" s="4" t="s">
        <v>207</v>
      </c>
      <c r="B49" s="4" t="s">
        <v>213</v>
      </c>
      <c r="C49" s="4" t="s">
        <v>81</v>
      </c>
      <c r="D49" s="4" t="s">
        <v>214</v>
      </c>
      <c r="E49" s="4" t="s">
        <v>215</v>
      </c>
      <c r="F49" s="4" t="s">
        <v>66</v>
      </c>
      <c r="G49" s="4" t="s">
        <v>85</v>
      </c>
      <c r="H49" s="4" t="s">
        <v>86</v>
      </c>
      <c r="I49" s="5">
        <v>0.24</v>
      </c>
      <c r="J49" s="5">
        <v>0.24</v>
      </c>
      <c r="K49" s="5">
        <v>0.25</v>
      </c>
      <c r="L49" s="4" t="s">
        <v>79</v>
      </c>
      <c r="M49" s="4" t="s">
        <v>212</v>
      </c>
      <c r="N49" s="4" t="s">
        <v>216</v>
      </c>
      <c r="O49" s="4" t="s">
        <v>87</v>
      </c>
      <c r="P49" s="4" t="s">
        <v>69</v>
      </c>
      <c r="Q49" s="4" t="s">
        <v>5</v>
      </c>
    </row>
    <row r="50" spans="1:17">
      <c r="A50" s="4" t="s">
        <v>207</v>
      </c>
      <c r="B50" s="4" t="s">
        <v>213</v>
      </c>
      <c r="C50" s="4" t="s">
        <v>81</v>
      </c>
      <c r="D50" s="4" t="s">
        <v>214</v>
      </c>
      <c r="E50" s="4" t="s">
        <v>215</v>
      </c>
      <c r="F50" s="4" t="s">
        <v>66</v>
      </c>
      <c r="G50" s="4" t="s">
        <v>88</v>
      </c>
      <c r="H50" s="4" t="s">
        <v>89</v>
      </c>
      <c r="I50" s="5">
        <v>2.5</v>
      </c>
      <c r="J50" s="5">
        <v>2.31</v>
      </c>
      <c r="K50" s="5">
        <v>2.8</v>
      </c>
      <c r="L50" s="4" t="s">
        <v>90</v>
      </c>
      <c r="M50" s="4" t="s">
        <v>212</v>
      </c>
      <c r="N50" s="4" t="s">
        <v>216</v>
      </c>
      <c r="O50" s="4" t="s">
        <v>87</v>
      </c>
      <c r="P50" s="4" t="s">
        <v>69</v>
      </c>
      <c r="Q50" s="4" t="s">
        <v>5</v>
      </c>
    </row>
    <row r="51" spans="1:17">
      <c r="A51" s="4" t="s">
        <v>207</v>
      </c>
      <c r="B51" s="4" t="s">
        <v>213</v>
      </c>
      <c r="C51" s="4" t="s">
        <v>81</v>
      </c>
      <c r="D51" s="4" t="s">
        <v>214</v>
      </c>
      <c r="E51" s="4" t="s">
        <v>215</v>
      </c>
      <c r="F51" s="4" t="s">
        <v>66</v>
      </c>
      <c r="G51" s="4" t="s">
        <v>91</v>
      </c>
      <c r="H51" s="4" t="s">
        <v>92</v>
      </c>
      <c r="I51" s="5">
        <v>4.0000000000000001E-3</v>
      </c>
      <c r="J51" s="5">
        <v>3.0000000000000001E-3</v>
      </c>
      <c r="K51" s="5">
        <v>4.0000000000000001E-3</v>
      </c>
      <c r="L51" s="4" t="s">
        <v>93</v>
      </c>
      <c r="M51" s="4" t="s">
        <v>212</v>
      </c>
      <c r="N51" s="4" t="s">
        <v>216</v>
      </c>
      <c r="O51" s="4" t="s">
        <v>87</v>
      </c>
      <c r="P51" s="4" t="s">
        <v>69</v>
      </c>
      <c r="Q51" s="4" t="s">
        <v>5</v>
      </c>
    </row>
    <row r="52" spans="1:17">
      <c r="A52" s="4" t="s">
        <v>207</v>
      </c>
      <c r="B52" s="4" t="s">
        <v>213</v>
      </c>
      <c r="C52" s="4" t="s">
        <v>81</v>
      </c>
      <c r="D52" s="4" t="s">
        <v>214</v>
      </c>
      <c r="E52" s="4" t="s">
        <v>215</v>
      </c>
      <c r="F52" s="4" t="s">
        <v>66</v>
      </c>
      <c r="G52" s="4" t="s">
        <v>94</v>
      </c>
      <c r="H52" s="4" t="s">
        <v>95</v>
      </c>
      <c r="I52" s="5">
        <v>4.4999999999999997E-3</v>
      </c>
      <c r="J52" s="5"/>
      <c r="K52" s="5"/>
      <c r="L52" s="4" t="s">
        <v>76</v>
      </c>
      <c r="M52" s="4" t="s">
        <v>212</v>
      </c>
      <c r="N52" s="4" t="s">
        <v>216</v>
      </c>
      <c r="O52" s="4" t="s">
        <v>96</v>
      </c>
      <c r="P52" s="4" t="s">
        <v>69</v>
      </c>
      <c r="Q52" s="4" t="s">
        <v>5</v>
      </c>
    </row>
    <row r="53" spans="1:17">
      <c r="A53" s="4" t="s">
        <v>207</v>
      </c>
      <c r="B53" s="4" t="s">
        <v>213</v>
      </c>
      <c r="C53" s="4" t="s">
        <v>81</v>
      </c>
      <c r="D53" s="4" t="s">
        <v>214</v>
      </c>
      <c r="E53" s="4" t="s">
        <v>215</v>
      </c>
      <c r="F53" s="4" t="s">
        <v>66</v>
      </c>
      <c r="G53" s="4" t="s">
        <v>97</v>
      </c>
      <c r="H53" s="4" t="s">
        <v>98</v>
      </c>
      <c r="I53" s="5">
        <v>3.3</v>
      </c>
      <c r="J53" s="5"/>
      <c r="K53" s="5"/>
      <c r="L53" s="4" t="s">
        <v>99</v>
      </c>
      <c r="M53" s="4" t="s">
        <v>212</v>
      </c>
      <c r="N53" s="4" t="s">
        <v>216</v>
      </c>
      <c r="O53" s="4" t="s">
        <v>100</v>
      </c>
      <c r="P53" s="4" t="s">
        <v>69</v>
      </c>
      <c r="Q53" s="4" t="s">
        <v>5</v>
      </c>
    </row>
    <row r="54" spans="1:17">
      <c r="A54" s="4" t="s">
        <v>207</v>
      </c>
      <c r="B54" s="4" t="s">
        <v>213</v>
      </c>
      <c r="C54" s="4" t="s">
        <v>81</v>
      </c>
      <c r="D54" s="4" t="s">
        <v>214</v>
      </c>
      <c r="E54" s="4" t="s">
        <v>215</v>
      </c>
      <c r="F54" s="4" t="s">
        <v>66</v>
      </c>
      <c r="G54" s="4" t="s">
        <v>101</v>
      </c>
      <c r="H54" s="4" t="s">
        <v>102</v>
      </c>
      <c r="I54" s="5">
        <v>3.4</v>
      </c>
      <c r="J54" s="5"/>
      <c r="K54" s="5"/>
      <c r="L54" s="4" t="s">
        <v>99</v>
      </c>
      <c r="M54" s="4" t="s">
        <v>212</v>
      </c>
      <c r="N54" s="4" t="s">
        <v>216</v>
      </c>
      <c r="O54" s="4" t="s">
        <v>100</v>
      </c>
      <c r="P54" s="4" t="s">
        <v>69</v>
      </c>
      <c r="Q54" s="4" t="s">
        <v>5</v>
      </c>
    </row>
    <row r="55" spans="1:17">
      <c r="A55" s="4" t="s">
        <v>207</v>
      </c>
      <c r="B55" s="4" t="s">
        <v>213</v>
      </c>
      <c r="C55" s="4" t="s">
        <v>81</v>
      </c>
      <c r="D55" s="4" t="s">
        <v>214</v>
      </c>
      <c r="E55" s="4" t="s">
        <v>215</v>
      </c>
      <c r="F55" s="4" t="s">
        <v>66</v>
      </c>
      <c r="G55" s="4" t="s">
        <v>103</v>
      </c>
      <c r="H55" s="4" t="s">
        <v>104</v>
      </c>
      <c r="I55" s="5">
        <v>132</v>
      </c>
      <c r="J55" s="5"/>
      <c r="K55" s="5"/>
      <c r="L55" s="4" t="s">
        <v>99</v>
      </c>
      <c r="M55" s="4" t="s">
        <v>212</v>
      </c>
      <c r="N55" s="4" t="s">
        <v>216</v>
      </c>
      <c r="O55" s="4" t="s">
        <v>73</v>
      </c>
      <c r="P55" s="4" t="s">
        <v>69</v>
      </c>
      <c r="Q55" s="4" t="s">
        <v>5</v>
      </c>
    </row>
    <row r="56" spans="1:17">
      <c r="A56" s="4" t="s">
        <v>207</v>
      </c>
      <c r="B56" s="4" t="s">
        <v>213</v>
      </c>
      <c r="C56" s="4" t="s">
        <v>63</v>
      </c>
      <c r="D56" s="4" t="s">
        <v>214</v>
      </c>
      <c r="E56" s="4" t="s">
        <v>215</v>
      </c>
      <c r="F56" s="4" t="s">
        <v>105</v>
      </c>
      <c r="G56" s="4" t="s">
        <v>64</v>
      </c>
      <c r="H56" s="4" t="s">
        <v>65</v>
      </c>
      <c r="I56" s="5">
        <v>4.0999999999999996</v>
      </c>
      <c r="J56" s="5"/>
      <c r="K56" s="5"/>
      <c r="L56" s="4" t="s">
        <v>67</v>
      </c>
      <c r="M56" s="4" t="s">
        <v>212</v>
      </c>
      <c r="N56" s="4" t="s">
        <v>216</v>
      </c>
      <c r="O56" s="4" t="s">
        <v>68</v>
      </c>
      <c r="P56" s="4" t="s">
        <v>69</v>
      </c>
      <c r="Q56" s="4" t="s">
        <v>5</v>
      </c>
    </row>
    <row r="57" spans="1:17">
      <c r="A57" s="4" t="s">
        <v>207</v>
      </c>
      <c r="B57" s="4" t="s">
        <v>213</v>
      </c>
      <c r="C57" s="4" t="s">
        <v>63</v>
      </c>
      <c r="D57" s="4" t="s">
        <v>214</v>
      </c>
      <c r="E57" s="4" t="s">
        <v>215</v>
      </c>
      <c r="F57" s="4" t="s">
        <v>105</v>
      </c>
      <c r="G57" s="4" t="s">
        <v>70</v>
      </c>
      <c r="H57" s="4" t="s">
        <v>71</v>
      </c>
      <c r="I57" s="5">
        <v>19.8</v>
      </c>
      <c r="J57" s="5"/>
      <c r="K57" s="5"/>
      <c r="L57" s="4" t="s">
        <v>72</v>
      </c>
      <c r="M57" s="4" t="s">
        <v>212</v>
      </c>
      <c r="N57" s="4" t="s">
        <v>216</v>
      </c>
      <c r="O57" s="4" t="s">
        <v>73</v>
      </c>
      <c r="P57" s="4" t="s">
        <v>69</v>
      </c>
      <c r="Q57" s="4" t="s">
        <v>5</v>
      </c>
    </row>
    <row r="58" spans="1:17">
      <c r="A58" s="4" t="s">
        <v>207</v>
      </c>
      <c r="B58" s="4" t="s">
        <v>213</v>
      </c>
      <c r="C58" s="4" t="s">
        <v>63</v>
      </c>
      <c r="D58" s="4" t="s">
        <v>214</v>
      </c>
      <c r="E58" s="4" t="s">
        <v>215</v>
      </c>
      <c r="F58" s="4" t="s">
        <v>105</v>
      </c>
      <c r="G58" s="4" t="s">
        <v>74</v>
      </c>
      <c r="H58" s="4" t="s">
        <v>75</v>
      </c>
      <c r="I58" s="5">
        <v>0.15</v>
      </c>
      <c r="J58" s="5"/>
      <c r="K58" s="5"/>
      <c r="L58" s="4" t="s">
        <v>76</v>
      </c>
      <c r="M58" s="4" t="s">
        <v>212</v>
      </c>
      <c r="N58" s="4" t="s">
        <v>216</v>
      </c>
      <c r="O58" s="4" t="s">
        <v>73</v>
      </c>
      <c r="P58" s="4" t="s">
        <v>69</v>
      </c>
      <c r="Q58" s="4" t="s">
        <v>5</v>
      </c>
    </row>
    <row r="59" spans="1:17">
      <c r="A59" s="4" t="s">
        <v>207</v>
      </c>
      <c r="B59" s="4" t="s">
        <v>213</v>
      </c>
      <c r="C59" s="4" t="s">
        <v>63</v>
      </c>
      <c r="D59" s="4" t="s">
        <v>214</v>
      </c>
      <c r="E59" s="4" t="s">
        <v>215</v>
      </c>
      <c r="F59" s="4" t="s">
        <v>105</v>
      </c>
      <c r="G59" s="4" t="s">
        <v>77</v>
      </c>
      <c r="H59" s="4" t="s">
        <v>78</v>
      </c>
      <c r="I59" s="5">
        <v>4.0000000000000002E-4</v>
      </c>
      <c r="J59" s="5"/>
      <c r="K59" s="5"/>
      <c r="L59" s="4" t="s">
        <v>79</v>
      </c>
      <c r="M59" s="4" t="s">
        <v>212</v>
      </c>
      <c r="N59" s="4" t="s">
        <v>216</v>
      </c>
      <c r="O59" s="4" t="s">
        <v>80</v>
      </c>
      <c r="P59" s="4" t="s">
        <v>69</v>
      </c>
      <c r="Q59" s="4" t="s">
        <v>5</v>
      </c>
    </row>
    <row r="60" spans="1:17">
      <c r="A60" s="4" t="s">
        <v>207</v>
      </c>
      <c r="B60" s="4" t="s">
        <v>213</v>
      </c>
      <c r="C60" s="4" t="s">
        <v>81</v>
      </c>
      <c r="D60" s="4" t="s">
        <v>214</v>
      </c>
      <c r="E60" s="4" t="s">
        <v>215</v>
      </c>
      <c r="F60" s="4" t="s">
        <v>105</v>
      </c>
      <c r="G60" s="4" t="s">
        <v>82</v>
      </c>
      <c r="H60" s="4" t="s">
        <v>83</v>
      </c>
      <c r="I60" s="5">
        <v>0.32</v>
      </c>
      <c r="J60" s="5">
        <v>0.2</v>
      </c>
      <c r="K60" s="5">
        <v>0.46</v>
      </c>
      <c r="L60" s="4" t="s">
        <v>76</v>
      </c>
      <c r="M60" s="4" t="s">
        <v>212</v>
      </c>
      <c r="N60" s="4" t="s">
        <v>216</v>
      </c>
      <c r="O60" s="4" t="s">
        <v>87</v>
      </c>
      <c r="P60" s="4" t="s">
        <v>69</v>
      </c>
      <c r="Q60" s="4" t="s">
        <v>5</v>
      </c>
    </row>
    <row r="61" spans="1:17">
      <c r="A61" s="4" t="s">
        <v>207</v>
      </c>
      <c r="B61" s="4" t="s">
        <v>213</v>
      </c>
      <c r="C61" s="4" t="s">
        <v>81</v>
      </c>
      <c r="D61" s="4" t="s">
        <v>214</v>
      </c>
      <c r="E61" s="4" t="s">
        <v>215</v>
      </c>
      <c r="F61" s="4" t="s">
        <v>105</v>
      </c>
      <c r="G61" s="4" t="s">
        <v>85</v>
      </c>
      <c r="H61" s="4" t="s">
        <v>86</v>
      </c>
      <c r="I61" s="5">
        <v>0.23</v>
      </c>
      <c r="J61" s="5">
        <v>0.18</v>
      </c>
      <c r="K61" s="5">
        <v>0.28999999999999998</v>
      </c>
      <c r="L61" s="4" t="s">
        <v>79</v>
      </c>
      <c r="M61" s="4" t="s">
        <v>212</v>
      </c>
      <c r="N61" s="4" t="s">
        <v>216</v>
      </c>
      <c r="O61" s="4" t="s">
        <v>87</v>
      </c>
      <c r="P61" s="4" t="s">
        <v>69</v>
      </c>
      <c r="Q61" s="4" t="s">
        <v>5</v>
      </c>
    </row>
    <row r="62" spans="1:17">
      <c r="A62" s="4" t="s">
        <v>207</v>
      </c>
      <c r="B62" s="4" t="s">
        <v>213</v>
      </c>
      <c r="C62" s="4" t="s">
        <v>81</v>
      </c>
      <c r="D62" s="4" t="s">
        <v>214</v>
      </c>
      <c r="E62" s="4" t="s">
        <v>215</v>
      </c>
      <c r="F62" s="4" t="s">
        <v>105</v>
      </c>
      <c r="G62" s="4" t="s">
        <v>88</v>
      </c>
      <c r="H62" s="4" t="s">
        <v>89</v>
      </c>
      <c r="I62" s="5">
        <v>0.28000000000000003</v>
      </c>
      <c r="J62" s="5">
        <v>0.17</v>
      </c>
      <c r="K62" s="5">
        <v>0.53</v>
      </c>
      <c r="L62" s="4" t="s">
        <v>90</v>
      </c>
      <c r="M62" s="4" t="s">
        <v>212</v>
      </c>
      <c r="N62" s="4" t="s">
        <v>216</v>
      </c>
      <c r="O62" s="4" t="s">
        <v>87</v>
      </c>
      <c r="P62" s="4" t="s">
        <v>69</v>
      </c>
      <c r="Q62" s="4" t="s">
        <v>5</v>
      </c>
    </row>
    <row r="63" spans="1:17">
      <c r="A63" s="4" t="s">
        <v>207</v>
      </c>
      <c r="B63" s="4" t="s">
        <v>213</v>
      </c>
      <c r="C63" s="4" t="s">
        <v>81</v>
      </c>
      <c r="D63" s="4" t="s">
        <v>214</v>
      </c>
      <c r="E63" s="4" t="s">
        <v>215</v>
      </c>
      <c r="F63" s="4" t="s">
        <v>105</v>
      </c>
      <c r="G63" s="4" t="s">
        <v>91</v>
      </c>
      <c r="H63" s="4" t="s">
        <v>92</v>
      </c>
      <c r="I63" s="5">
        <v>1.7000000000000001E-2</v>
      </c>
      <c r="J63" s="5">
        <v>0.01</v>
      </c>
      <c r="K63" s="5">
        <v>4.1000000000000002E-2</v>
      </c>
      <c r="L63" s="4" t="s">
        <v>93</v>
      </c>
      <c r="M63" s="4" t="s">
        <v>212</v>
      </c>
      <c r="N63" s="4" t="s">
        <v>216</v>
      </c>
      <c r="O63" s="4" t="s">
        <v>87</v>
      </c>
      <c r="P63" s="4" t="s">
        <v>69</v>
      </c>
      <c r="Q63" s="4" t="s">
        <v>5</v>
      </c>
    </row>
    <row r="64" spans="1:17">
      <c r="A64" s="4" t="s">
        <v>207</v>
      </c>
      <c r="B64" s="4" t="s">
        <v>213</v>
      </c>
      <c r="C64" s="4" t="s">
        <v>81</v>
      </c>
      <c r="D64" s="4" t="s">
        <v>214</v>
      </c>
      <c r="E64" s="4" t="s">
        <v>215</v>
      </c>
      <c r="F64" s="4" t="s">
        <v>105</v>
      </c>
      <c r="G64" s="4" t="s">
        <v>94</v>
      </c>
      <c r="H64" s="4" t="s">
        <v>95</v>
      </c>
      <c r="I64" s="5">
        <v>1.1999999999999999E-3</v>
      </c>
      <c r="J64" s="5"/>
      <c r="K64" s="5"/>
      <c r="L64" s="4" t="s">
        <v>76</v>
      </c>
      <c r="M64" s="4" t="s">
        <v>212</v>
      </c>
      <c r="N64" s="4" t="s">
        <v>216</v>
      </c>
      <c r="O64" s="4" t="s">
        <v>96</v>
      </c>
      <c r="P64" s="4" t="s">
        <v>69</v>
      </c>
      <c r="Q64" s="4" t="s">
        <v>5</v>
      </c>
    </row>
    <row r="65" spans="1:17">
      <c r="A65" s="4" t="s">
        <v>207</v>
      </c>
      <c r="B65" s="4" t="s">
        <v>213</v>
      </c>
      <c r="C65" s="4" t="s">
        <v>81</v>
      </c>
      <c r="D65" s="4" t="s">
        <v>214</v>
      </c>
      <c r="E65" s="4" t="s">
        <v>215</v>
      </c>
      <c r="F65" s="4" t="s">
        <v>105</v>
      </c>
      <c r="G65" s="4" t="s">
        <v>97</v>
      </c>
      <c r="H65" s="4" t="s">
        <v>98</v>
      </c>
      <c r="I65" s="5">
        <v>3.3</v>
      </c>
      <c r="J65" s="5"/>
      <c r="K65" s="5"/>
      <c r="L65" s="4" t="s">
        <v>99</v>
      </c>
      <c r="M65" s="4" t="s">
        <v>212</v>
      </c>
      <c r="N65" s="4" t="s">
        <v>216</v>
      </c>
      <c r="O65" s="4" t="s">
        <v>100</v>
      </c>
      <c r="P65" s="4" t="s">
        <v>69</v>
      </c>
      <c r="Q65" s="4" t="s">
        <v>5</v>
      </c>
    </row>
    <row r="66" spans="1:17">
      <c r="A66" s="4" t="s">
        <v>207</v>
      </c>
      <c r="B66" s="4" t="s">
        <v>213</v>
      </c>
      <c r="C66" s="4" t="s">
        <v>81</v>
      </c>
      <c r="D66" s="4" t="s">
        <v>214</v>
      </c>
      <c r="E66" s="4" t="s">
        <v>215</v>
      </c>
      <c r="F66" s="4" t="s">
        <v>105</v>
      </c>
      <c r="G66" s="4" t="s">
        <v>101</v>
      </c>
      <c r="H66" s="4" t="s">
        <v>102</v>
      </c>
      <c r="I66" s="5">
        <v>3.4</v>
      </c>
      <c r="J66" s="5"/>
      <c r="K66" s="5"/>
      <c r="L66" s="4" t="s">
        <v>99</v>
      </c>
      <c r="M66" s="4" t="s">
        <v>212</v>
      </c>
      <c r="N66" s="4" t="s">
        <v>216</v>
      </c>
      <c r="O66" s="4" t="s">
        <v>100</v>
      </c>
      <c r="P66" s="4" t="s">
        <v>69</v>
      </c>
      <c r="Q66" s="4" t="s">
        <v>5</v>
      </c>
    </row>
    <row r="67" spans="1:17">
      <c r="A67" s="4" t="s">
        <v>207</v>
      </c>
      <c r="B67" s="4" t="s">
        <v>213</v>
      </c>
      <c r="C67" s="4" t="s">
        <v>81</v>
      </c>
      <c r="D67" s="4" t="s">
        <v>214</v>
      </c>
      <c r="E67" s="4" t="s">
        <v>215</v>
      </c>
      <c r="F67" s="4" t="s">
        <v>105</v>
      </c>
      <c r="G67" s="4" t="s">
        <v>103</v>
      </c>
      <c r="H67" s="4" t="s">
        <v>104</v>
      </c>
      <c r="I67" s="5">
        <v>230</v>
      </c>
      <c r="J67" s="5"/>
      <c r="K67" s="5"/>
      <c r="L67" s="4" t="s">
        <v>99</v>
      </c>
      <c r="M67" s="4" t="s">
        <v>212</v>
      </c>
      <c r="N67" s="4" t="s">
        <v>216</v>
      </c>
      <c r="O67" s="4" t="s">
        <v>73</v>
      </c>
      <c r="P67" s="4" t="s">
        <v>69</v>
      </c>
      <c r="Q67" s="4" t="s">
        <v>5</v>
      </c>
    </row>
    <row r="68" spans="1:17">
      <c r="A68" s="4" t="s">
        <v>207</v>
      </c>
      <c r="B68" s="4" t="s">
        <v>213</v>
      </c>
      <c r="C68" s="4" t="s">
        <v>63</v>
      </c>
      <c r="D68" s="4" t="s">
        <v>214</v>
      </c>
      <c r="E68" s="4" t="s">
        <v>215</v>
      </c>
      <c r="F68" s="4" t="s">
        <v>106</v>
      </c>
      <c r="G68" s="4" t="s">
        <v>64</v>
      </c>
      <c r="H68" s="4" t="s">
        <v>65</v>
      </c>
      <c r="I68" s="5">
        <v>5</v>
      </c>
      <c r="J68" s="5"/>
      <c r="K68" s="5"/>
      <c r="L68" s="4" t="s">
        <v>67</v>
      </c>
      <c r="M68" s="4" t="s">
        <v>212</v>
      </c>
      <c r="N68" s="4" t="s">
        <v>216</v>
      </c>
      <c r="O68" s="4" t="s">
        <v>107</v>
      </c>
      <c r="P68" s="4" t="s">
        <v>108</v>
      </c>
      <c r="Q68" s="4" t="s">
        <v>5</v>
      </c>
    </row>
    <row r="69" spans="1:17">
      <c r="A69" s="4" t="s">
        <v>207</v>
      </c>
      <c r="B69" s="4" t="s">
        <v>213</v>
      </c>
      <c r="C69" s="4" t="s">
        <v>63</v>
      </c>
      <c r="D69" s="4" t="s">
        <v>214</v>
      </c>
      <c r="E69" s="4" t="s">
        <v>215</v>
      </c>
      <c r="F69" s="4" t="s">
        <v>106</v>
      </c>
      <c r="G69" s="4" t="s">
        <v>70</v>
      </c>
      <c r="H69" s="4" t="s">
        <v>71</v>
      </c>
      <c r="I69" s="5">
        <v>19.8</v>
      </c>
      <c r="J69" s="5"/>
      <c r="K69" s="5"/>
      <c r="L69" s="4" t="s">
        <v>72</v>
      </c>
      <c r="M69" s="4" t="s">
        <v>212</v>
      </c>
      <c r="N69" s="4" t="s">
        <v>216</v>
      </c>
      <c r="O69" s="4" t="s">
        <v>73</v>
      </c>
      <c r="P69" s="4" t="s">
        <v>108</v>
      </c>
      <c r="Q69" s="4" t="s">
        <v>5</v>
      </c>
    </row>
    <row r="70" spans="1:17">
      <c r="A70" s="4" t="s">
        <v>207</v>
      </c>
      <c r="B70" s="4" t="s">
        <v>213</v>
      </c>
      <c r="C70" s="4" t="s">
        <v>63</v>
      </c>
      <c r="D70" s="4" t="s">
        <v>214</v>
      </c>
      <c r="E70" s="4" t="s">
        <v>215</v>
      </c>
      <c r="F70" s="4" t="s">
        <v>106</v>
      </c>
      <c r="G70" s="4" t="s">
        <v>74</v>
      </c>
      <c r="H70" s="4" t="s">
        <v>75</v>
      </c>
      <c r="I70" s="5">
        <v>0.15</v>
      </c>
      <c r="J70" s="5"/>
      <c r="K70" s="5"/>
      <c r="L70" s="4" t="s">
        <v>76</v>
      </c>
      <c r="M70" s="4" t="s">
        <v>212</v>
      </c>
      <c r="N70" s="4" t="s">
        <v>216</v>
      </c>
      <c r="O70" s="4" t="s">
        <v>73</v>
      </c>
      <c r="P70" s="4" t="s">
        <v>108</v>
      </c>
      <c r="Q70" s="4" t="s">
        <v>5</v>
      </c>
    </row>
    <row r="71" spans="1:17">
      <c r="A71" s="4" t="s">
        <v>207</v>
      </c>
      <c r="B71" s="4" t="s">
        <v>213</v>
      </c>
      <c r="C71" s="4" t="s">
        <v>63</v>
      </c>
      <c r="D71" s="4" t="s">
        <v>214</v>
      </c>
      <c r="E71" s="4" t="s">
        <v>215</v>
      </c>
      <c r="F71" s="4" t="s">
        <v>106</v>
      </c>
      <c r="G71" s="4" t="s">
        <v>77</v>
      </c>
      <c r="H71" s="4" t="s">
        <v>78</v>
      </c>
      <c r="I71" s="5">
        <v>4.0000000000000002E-4</v>
      </c>
      <c r="J71" s="5"/>
      <c r="K71" s="5"/>
      <c r="L71" s="4" t="s">
        <v>79</v>
      </c>
      <c r="M71" s="4" t="s">
        <v>212</v>
      </c>
      <c r="N71" s="4" t="s">
        <v>216</v>
      </c>
      <c r="O71" s="4" t="s">
        <v>80</v>
      </c>
      <c r="P71" s="4" t="s">
        <v>108</v>
      </c>
      <c r="Q71" s="4" t="s">
        <v>5</v>
      </c>
    </row>
    <row r="72" spans="1:17">
      <c r="A72" s="4" t="s">
        <v>207</v>
      </c>
      <c r="B72" s="4" t="s">
        <v>213</v>
      </c>
      <c r="C72" s="4" t="s">
        <v>81</v>
      </c>
      <c r="D72" s="4" t="s">
        <v>214</v>
      </c>
      <c r="E72" s="4" t="s">
        <v>215</v>
      </c>
      <c r="F72" s="4" t="s">
        <v>106</v>
      </c>
      <c r="G72" s="4" t="s">
        <v>82</v>
      </c>
      <c r="H72" s="4" t="s">
        <v>83</v>
      </c>
      <c r="I72" s="5">
        <v>0.9</v>
      </c>
      <c r="J72" s="5"/>
      <c r="K72" s="5"/>
      <c r="L72" s="4" t="s">
        <v>76</v>
      </c>
      <c r="M72" s="4" t="s">
        <v>212</v>
      </c>
      <c r="N72" s="4" t="s">
        <v>216</v>
      </c>
      <c r="O72" s="4" t="s">
        <v>109</v>
      </c>
      <c r="P72" s="4" t="s">
        <v>108</v>
      </c>
      <c r="Q72" s="4" t="s">
        <v>5</v>
      </c>
    </row>
    <row r="73" spans="1:17">
      <c r="A73" s="4" t="s">
        <v>207</v>
      </c>
      <c r="B73" s="4" t="s">
        <v>213</v>
      </c>
      <c r="C73" s="4" t="s">
        <v>81</v>
      </c>
      <c r="D73" s="4" t="s">
        <v>214</v>
      </c>
      <c r="E73" s="4" t="s">
        <v>215</v>
      </c>
      <c r="F73" s="4" t="s">
        <v>106</v>
      </c>
      <c r="G73" s="4" t="s">
        <v>85</v>
      </c>
      <c r="H73" s="4" t="s">
        <v>86</v>
      </c>
      <c r="I73" s="5">
        <v>0.17</v>
      </c>
      <c r="J73" s="5">
        <v>0.16</v>
      </c>
      <c r="K73" s="5">
        <v>0.2</v>
      </c>
      <c r="L73" s="4" t="s">
        <v>79</v>
      </c>
      <c r="M73" s="4" t="s">
        <v>212</v>
      </c>
      <c r="N73" s="4" t="s">
        <v>216</v>
      </c>
      <c r="O73" s="4" t="s">
        <v>87</v>
      </c>
      <c r="P73" s="4" t="s">
        <v>108</v>
      </c>
      <c r="Q73" s="4" t="s">
        <v>5</v>
      </c>
    </row>
    <row r="74" spans="1:17">
      <c r="A74" s="4" t="s">
        <v>207</v>
      </c>
      <c r="B74" s="4" t="s">
        <v>213</v>
      </c>
      <c r="C74" s="4" t="s">
        <v>81</v>
      </c>
      <c r="D74" s="4" t="s">
        <v>214</v>
      </c>
      <c r="E74" s="4" t="s">
        <v>215</v>
      </c>
      <c r="F74" s="4" t="s">
        <v>106</v>
      </c>
      <c r="G74" s="4" t="s">
        <v>88</v>
      </c>
      <c r="H74" s="4" t="s">
        <v>89</v>
      </c>
      <c r="I74" s="5">
        <v>0.21</v>
      </c>
      <c r="J74" s="5">
        <v>0.18</v>
      </c>
      <c r="K74" s="5">
        <v>0.25</v>
      </c>
      <c r="L74" s="4" t="s">
        <v>90</v>
      </c>
      <c r="M74" s="4" t="s">
        <v>212</v>
      </c>
      <c r="N74" s="4" t="s">
        <v>216</v>
      </c>
      <c r="O74" s="4" t="s">
        <v>87</v>
      </c>
      <c r="P74" s="4" t="s">
        <v>108</v>
      </c>
      <c r="Q74" s="4" t="s">
        <v>5</v>
      </c>
    </row>
    <row r="75" spans="1:17">
      <c r="A75" s="4" t="s">
        <v>207</v>
      </c>
      <c r="B75" s="4" t="s">
        <v>213</v>
      </c>
      <c r="C75" s="4" t="s">
        <v>81</v>
      </c>
      <c r="D75" s="4" t="s">
        <v>214</v>
      </c>
      <c r="E75" s="4" t="s">
        <v>215</v>
      </c>
      <c r="F75" s="4" t="s">
        <v>106</v>
      </c>
      <c r="G75" s="4" t="s">
        <v>91</v>
      </c>
      <c r="H75" s="4" t="s">
        <v>92</v>
      </c>
      <c r="I75" s="5">
        <v>4.0000000000000001E-3</v>
      </c>
      <c r="J75" s="5"/>
      <c r="K75" s="5"/>
      <c r="L75" s="4" t="s">
        <v>93</v>
      </c>
      <c r="M75" s="4" t="s">
        <v>212</v>
      </c>
      <c r="N75" s="4" t="s">
        <v>216</v>
      </c>
      <c r="O75" s="4" t="s">
        <v>109</v>
      </c>
      <c r="P75" s="4" t="s">
        <v>108</v>
      </c>
      <c r="Q75" s="4" t="s">
        <v>5</v>
      </c>
    </row>
    <row r="76" spans="1:17">
      <c r="A76" s="4" t="s">
        <v>207</v>
      </c>
      <c r="B76" s="4" t="s">
        <v>213</v>
      </c>
      <c r="C76" s="4" t="s">
        <v>81</v>
      </c>
      <c r="D76" s="4" t="s">
        <v>214</v>
      </c>
      <c r="E76" s="4" t="s">
        <v>215</v>
      </c>
      <c r="F76" s="4" t="s">
        <v>106</v>
      </c>
      <c r="G76" s="4" t="s">
        <v>94</v>
      </c>
      <c r="H76" s="4" t="s">
        <v>95</v>
      </c>
      <c r="I76" s="5">
        <v>8.9999999999999998E-4</v>
      </c>
      <c r="J76" s="5"/>
      <c r="K76" s="5"/>
      <c r="L76" s="4" t="s">
        <v>76</v>
      </c>
      <c r="M76" s="4" t="s">
        <v>212</v>
      </c>
      <c r="N76" s="4" t="s">
        <v>216</v>
      </c>
      <c r="O76" s="4" t="s">
        <v>96</v>
      </c>
      <c r="P76" s="4" t="s">
        <v>108</v>
      </c>
      <c r="Q76" s="4" t="s">
        <v>5</v>
      </c>
    </row>
    <row r="77" spans="1:17">
      <c r="A77" s="4" t="s">
        <v>207</v>
      </c>
      <c r="B77" s="4" t="s">
        <v>213</v>
      </c>
      <c r="C77" s="4" t="s">
        <v>81</v>
      </c>
      <c r="D77" s="4" t="s">
        <v>214</v>
      </c>
      <c r="E77" s="4" t="s">
        <v>215</v>
      </c>
      <c r="F77" s="4" t="s">
        <v>106</v>
      </c>
      <c r="G77" s="4" t="s">
        <v>97</v>
      </c>
      <c r="H77" s="4" t="s">
        <v>98</v>
      </c>
      <c r="I77" s="5">
        <v>3.3</v>
      </c>
      <c r="J77" s="5"/>
      <c r="K77" s="5"/>
      <c r="L77" s="4" t="s">
        <v>99</v>
      </c>
      <c r="M77" s="4" t="s">
        <v>212</v>
      </c>
      <c r="N77" s="4" t="s">
        <v>216</v>
      </c>
      <c r="O77" s="4" t="s">
        <v>100</v>
      </c>
      <c r="P77" s="4" t="s">
        <v>108</v>
      </c>
      <c r="Q77" s="4" t="s">
        <v>5</v>
      </c>
    </row>
    <row r="78" spans="1:17">
      <c r="A78" s="4" t="s">
        <v>207</v>
      </c>
      <c r="B78" s="4" t="s">
        <v>213</v>
      </c>
      <c r="C78" s="4" t="s">
        <v>81</v>
      </c>
      <c r="D78" s="4" t="s">
        <v>214</v>
      </c>
      <c r="E78" s="4" t="s">
        <v>215</v>
      </c>
      <c r="F78" s="4" t="s">
        <v>106</v>
      </c>
      <c r="G78" s="4" t="s">
        <v>101</v>
      </c>
      <c r="H78" s="4" t="s">
        <v>102</v>
      </c>
      <c r="I78" s="5">
        <v>3.4</v>
      </c>
      <c r="J78" s="5"/>
      <c r="K78" s="5"/>
      <c r="L78" s="4" t="s">
        <v>99</v>
      </c>
      <c r="M78" s="4" t="s">
        <v>212</v>
      </c>
      <c r="N78" s="4" t="s">
        <v>216</v>
      </c>
      <c r="O78" s="4" t="s">
        <v>100</v>
      </c>
      <c r="P78" s="4" t="s">
        <v>108</v>
      </c>
      <c r="Q78" s="4" t="s">
        <v>5</v>
      </c>
    </row>
    <row r="79" spans="1:17">
      <c r="A79" s="4" t="s">
        <v>207</v>
      </c>
      <c r="B79" s="4" t="s">
        <v>213</v>
      </c>
      <c r="C79" s="4" t="s">
        <v>81</v>
      </c>
      <c r="D79" s="4" t="s">
        <v>214</v>
      </c>
      <c r="E79" s="4" t="s">
        <v>215</v>
      </c>
      <c r="F79" s="4" t="s">
        <v>106</v>
      </c>
      <c r="G79" s="4" t="s">
        <v>103</v>
      </c>
      <c r="H79" s="4" t="s">
        <v>104</v>
      </c>
      <c r="I79" s="5">
        <v>132</v>
      </c>
      <c r="J79" s="5"/>
      <c r="K79" s="5"/>
      <c r="L79" s="4" t="s">
        <v>99</v>
      </c>
      <c r="M79" s="4" t="s">
        <v>212</v>
      </c>
      <c r="N79" s="4" t="s">
        <v>216</v>
      </c>
      <c r="O79" s="4" t="s">
        <v>110</v>
      </c>
      <c r="P79" s="4" t="s">
        <v>108</v>
      </c>
      <c r="Q79" s="4" t="s">
        <v>5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Gautam Gautam</cp:lastModifiedBy>
  <cp:revision/>
  <dcterms:created xsi:type="dcterms:W3CDTF">2026-09-08T08:21:42Z</dcterms:created>
  <dcterms:modified xsi:type="dcterms:W3CDTF">2026-09-08T08:21:42Z</dcterms:modified>
  <cp:category/>
  <cp:contentStatus/>
</cp:coreProperties>
</file>